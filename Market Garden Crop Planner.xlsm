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173A3B3-6BC5-4AA9-AF2B-E262D9C274BC}" xr6:coauthVersionLast="45" xr6:coauthVersionMax="45" xr10:uidLastSave="{00000000-0000-0000-0000-000000000000}"/>
  <bookViews>
    <workbookView xWindow="-120" yWindow="-120" windowWidth="29040" windowHeight="15840" tabRatio="888" xr2:uid="{00000000-000D-0000-FFFF-FFFF00000000}"/>
  </bookViews>
  <sheets>
    <sheet name="Intro" sheetId="233" r:id="rId1"/>
    <sheet name="Annual Plan" sheetId="1" r:id="rId2"/>
    <sheet name="Weekly CSA Share Content" sheetId="2" r:id="rId3"/>
    <sheet name="Calendar" sheetId="339" r:id="rId4"/>
    <sheet name="Weekly CSA Harvest Target" sheetId="3" r:id="rId5"/>
    <sheet name="Seed Sheet" sheetId="336" r:id="rId6"/>
    <sheet name="Greenhouse Schedule" sheetId="335" r:id="rId7"/>
    <sheet name="Crop Sheet" sheetId="22" r:id="rId8"/>
    <sheet name="Field Planting Schedule" sheetId="4" r:id="rId9"/>
    <sheet name="Field Ops" sheetId="338" r:id="rId10"/>
    <sheet name="Availability" sheetId="232" r:id="rId11"/>
    <sheet name="Planting Constraints" sheetId="211" r:id="rId12"/>
    <sheet name="DS Crop Ref" sheetId="14" r:id="rId13"/>
    <sheet name="TP Crop Ref" sheetId="15" r:id="rId14"/>
  </sheets>
  <functionGroups builtInGroupCount="19"/>
  <definedNames>
    <definedName name="_xlnm._FilterDatabase" localSheetId="10" hidden="1">Availability!#REF!</definedName>
    <definedName name="_xlnm._FilterDatabase" localSheetId="7" hidden="1">'Crop Sheet'!$A$1:$T$2</definedName>
    <definedName name="_xlnm._FilterDatabase" localSheetId="12" hidden="1">'DS Crop Ref'!$A$2:$P$19</definedName>
    <definedName name="_xlnm._FilterDatabase" localSheetId="9" hidden="1">'Field Ops'!$A$1:$J$41</definedName>
    <definedName name="_xlnm._FilterDatabase" localSheetId="6" hidden="1">'Greenhouse Schedule'!$A$2:$N$2</definedName>
    <definedName name="_xlnm._FilterDatabase" localSheetId="11" hidden="1">'Planting Constraints'!$A$1:$O$48</definedName>
    <definedName name="_xlnm._FilterDatabase" localSheetId="13" hidden="1">'TP Crop Ref'!$A$2:$U$29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1" l="1"/>
  <c r="B1" i="1" s="1"/>
  <c r="B7" i="1" l="1"/>
  <c r="N19" i="14" l="1"/>
  <c r="O5" i="211"/>
  <c r="O6" i="211"/>
  <c r="N12" i="14" s="1"/>
  <c r="O7" i="211"/>
  <c r="N6" i="14" s="1"/>
  <c r="O12" i="211"/>
  <c r="O13" i="211"/>
  <c r="N13" i="14" s="1"/>
  <c r="O19" i="211"/>
  <c r="N7" i="14" s="1"/>
  <c r="O20" i="211"/>
  <c r="O21" i="211"/>
  <c r="O22" i="211"/>
  <c r="N14" i="14" s="1"/>
  <c r="O25" i="211"/>
  <c r="N3" i="14" s="1"/>
  <c r="O26" i="211"/>
  <c r="O35" i="211"/>
  <c r="O36" i="211"/>
  <c r="N17" i="14" s="1"/>
  <c r="O38" i="211"/>
  <c r="N4" i="14" s="1"/>
  <c r="O39" i="211"/>
  <c r="N8" i="14" s="1"/>
  <c r="O40" i="211"/>
  <c r="N9" i="14" s="1"/>
  <c r="O43" i="211"/>
  <c r="N15" i="14" s="1"/>
  <c r="O44" i="211"/>
  <c r="O45" i="211"/>
  <c r="O47" i="211"/>
  <c r="N10" i="14" s="1"/>
  <c r="O3" i="211"/>
  <c r="Q22" i="15" s="1"/>
  <c r="O8" i="211"/>
  <c r="Q15" i="15" s="1"/>
  <c r="O9" i="211"/>
  <c r="Q20" i="15" s="1"/>
  <c r="O10" i="211"/>
  <c r="Q21" i="15" s="1"/>
  <c r="O11" i="211"/>
  <c r="Q18" i="15" s="1"/>
  <c r="O14" i="211"/>
  <c r="Q16" i="15" s="1"/>
  <c r="O15" i="211"/>
  <c r="Q29" i="15" s="1"/>
  <c r="O16" i="211"/>
  <c r="Q28" i="15" s="1"/>
  <c r="O17" i="211"/>
  <c r="Q25" i="15" s="1"/>
  <c r="O18" i="211"/>
  <c r="Q17" i="15" s="1"/>
  <c r="O23" i="211"/>
  <c r="Q3" i="15" s="1"/>
  <c r="O24" i="211"/>
  <c r="Q27" i="15" s="1"/>
  <c r="O27" i="211"/>
  <c r="Q14" i="15" s="1"/>
  <c r="O28" i="211"/>
  <c r="Q13" i="15" s="1"/>
  <c r="O29" i="211"/>
  <c r="Q7" i="15" s="1"/>
  <c r="O30" i="211"/>
  <c r="O33" i="211"/>
  <c r="Q8" i="15" s="1"/>
  <c r="O34" i="211"/>
  <c r="Q23" i="15" s="1"/>
  <c r="O37" i="211"/>
  <c r="Q5" i="15" s="1"/>
  <c r="O41" i="211"/>
  <c r="Q19" i="15" s="1"/>
  <c r="O42" i="211"/>
  <c r="Q6" i="15" s="1"/>
  <c r="O46" i="211"/>
  <c r="Q4" i="15" s="1"/>
  <c r="O48" i="211"/>
  <c r="N5" i="14" s="1"/>
  <c r="O32" i="211"/>
  <c r="N18" i="14" s="1"/>
  <c r="O31" i="211"/>
  <c r="N11" i="14" s="1"/>
  <c r="O4" i="211"/>
  <c r="N16" i="14" s="1"/>
  <c r="C14" i="1" l="1"/>
  <c r="D14" i="1" s="1"/>
  <c r="Q10" i="15"/>
  <c r="Q26" i="15"/>
  <c r="Q9" i="15"/>
  <c r="Q12" i="15"/>
  <c r="Q11" i="15"/>
  <c r="Q24" i="15"/>
  <c r="C15" i="1" l="1"/>
  <c r="C16" i="1"/>
  <c r="D16" i="1" s="1"/>
  <c r="C17" i="1"/>
  <c r="C18" i="1"/>
  <c r="D18" i="1" s="1"/>
  <c r="C19" i="1"/>
  <c r="C20" i="1"/>
  <c r="C21" i="1"/>
  <c r="D21" i="1" s="1"/>
  <c r="C22" i="1"/>
  <c r="D22" i="1" s="1"/>
  <c r="C23" i="1"/>
  <c r="D23" i="1" s="1"/>
  <c r="C24" i="1"/>
  <c r="D24" i="1" s="1"/>
  <c r="C25" i="1"/>
  <c r="D25" i="1" s="1"/>
  <c r="C26" i="1"/>
  <c r="C27" i="1"/>
  <c r="D27" i="1" s="1"/>
  <c r="C28" i="1"/>
  <c r="D28" i="1" s="1"/>
  <c r="C29" i="1"/>
  <c r="D29" i="1" s="1"/>
  <c r="C30" i="1"/>
  <c r="D30" i="1" s="1"/>
  <c r="C31" i="1"/>
  <c r="C32" i="1"/>
  <c r="C33" i="1"/>
  <c r="C34" i="1"/>
  <c r="C35" i="1"/>
  <c r="D35" i="1" s="1"/>
  <c r="C36" i="1"/>
  <c r="C37" i="1"/>
  <c r="D37" i="1" s="1"/>
  <c r="C38" i="1"/>
  <c r="C39" i="1"/>
  <c r="D39" i="1" s="1"/>
  <c r="C40" i="1"/>
  <c r="D40" i="1" s="1"/>
  <c r="C41" i="1"/>
  <c r="D41" i="1" s="1"/>
  <c r="C42" i="1"/>
  <c r="D42" i="1" s="1"/>
  <c r="C43" i="1"/>
  <c r="A15" i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D7" i="1"/>
  <c r="H7" i="1" s="1"/>
  <c r="H8" i="1" s="1"/>
  <c r="E24" i="1" l="1"/>
  <c r="E40" i="1"/>
  <c r="E14" i="1"/>
  <c r="E30" i="1"/>
  <c r="E18" i="1"/>
  <c r="E41" i="1"/>
  <c r="E42" i="1"/>
  <c r="D43" i="1"/>
  <c r="E43" i="1" s="1"/>
  <c r="D34" i="1"/>
  <c r="E34" i="1" s="1"/>
  <c r="E35" i="1"/>
  <c r="E21" i="1"/>
  <c r="D26" i="1"/>
  <c r="E26" i="1" s="1"/>
  <c r="E27" i="1"/>
  <c r="D19" i="1"/>
  <c r="E19" i="1" s="1"/>
  <c r="D20" i="1"/>
  <c r="E20" i="1" s="1"/>
  <c r="E23" i="1"/>
  <c r="D36" i="1"/>
  <c r="E36" i="1" s="1"/>
  <c r="E39" i="1"/>
  <c r="D17" i="1"/>
  <c r="E17" i="1" s="1"/>
  <c r="D33" i="1"/>
  <c r="E33" i="1" s="1"/>
  <c r="E16" i="1"/>
  <c r="E29" i="1"/>
  <c r="E37" i="1"/>
  <c r="D15" i="1"/>
  <c r="E15" i="1" s="1"/>
  <c r="D31" i="1"/>
  <c r="E31" i="1" s="1"/>
  <c r="E25" i="1"/>
  <c r="D38" i="1"/>
  <c r="E38" i="1" s="1"/>
  <c r="D32" i="1"/>
  <c r="E32" i="1" s="1"/>
  <c r="E28" i="1"/>
  <c r="E22" i="1"/>
  <c r="F14" i="1" l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B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7" authorId="0" shapeId="0" xr:uid="{4C4994A2-A749-47B1-878B-020684C62E54}">
      <text>
        <r>
          <rPr>
            <sz val="9"/>
            <color indexed="81"/>
            <rFont val="Tahoma"/>
            <family val="2"/>
          </rPr>
          <t>This copy of the tool comes pre-loaded with parameters. Mouse-over each Green sheet for details</t>
        </r>
      </text>
    </comment>
    <comment ref="D7" authorId="0" shapeId="0" xr:uid="{4F169EE5-89FF-4954-AF9D-718A86AC8DD6}">
      <text>
        <r>
          <rPr>
            <sz val="9"/>
            <color indexed="81"/>
            <rFont val="Tahoma"/>
            <family val="2"/>
          </rPr>
          <t>Pre-loaded with planting seasons approximating the climate of Louisville, KY. I recommend that you sanity check this sheet before using the tool.</t>
        </r>
      </text>
    </comment>
    <comment ref="D8" authorId="0" shapeId="0" xr:uid="{976D8B28-E0BC-4667-AAA9-EB0D132EC231}">
      <text>
        <r>
          <rPr>
            <sz val="9"/>
            <color indexed="81"/>
            <rFont val="Tahoma"/>
            <family val="2"/>
          </rPr>
          <t xml:space="preserve">This sheet holds the parameters for direct-seeded crops. Most of the data here is taken from </t>
        </r>
        <r>
          <rPr>
            <u/>
            <sz val="9"/>
            <color indexed="81"/>
            <rFont val="Tahoma"/>
            <family val="2"/>
          </rPr>
          <t>Crop Planning for Organic Vegetable Growers</t>
        </r>
        <r>
          <rPr>
            <sz val="9"/>
            <color indexed="81"/>
            <rFont val="Tahoma"/>
            <family val="2"/>
          </rPr>
          <t xml:space="preserve"> by Frederic Theriault and Daniel Brisebois. Their work focuses on conditions in Quebec, so you will want to sanity check these parameters for your local climate. </t>
        </r>
      </text>
    </comment>
    <comment ref="D9" authorId="0" shapeId="0" xr:uid="{CE88D39F-EF78-496C-8AD6-3C3CFF82AE60}">
      <text>
        <r>
          <rPr>
            <sz val="9"/>
            <color indexed="81"/>
            <rFont val="Tahoma"/>
            <family val="2"/>
          </rPr>
          <t xml:space="preserve">This sheet holds the parameters for transplanted crops. Most of the data here is taken from </t>
        </r>
        <r>
          <rPr>
            <u/>
            <sz val="9"/>
            <color indexed="81"/>
            <rFont val="Tahoma"/>
            <family val="2"/>
          </rPr>
          <t>Crop Planning for Organic Vegetable Growers</t>
        </r>
        <r>
          <rPr>
            <sz val="9"/>
            <color indexed="81"/>
            <rFont val="Tahoma"/>
            <family val="2"/>
          </rPr>
          <t xml:space="preserve"> by Frederic Theriault and Daniel Brisebois. Their work focuses on conditions in Quebec, so you will want to sanity check these parameters for your local climate.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7" authorId="0" shapeId="0" xr:uid="{B1C651F0-3AC5-48B5-AACE-1834797639D3}">
      <text>
        <r>
          <rPr>
            <sz val="9"/>
            <color indexed="81"/>
            <rFont val="Tahoma"/>
            <family val="2"/>
          </rPr>
          <t>This assumes that your homestead startup costs represent one third of your income.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" authorId="0" shapeId="0" xr:uid="{F12A393D-7579-4082-9EE6-7AE632E806E9}">
      <text>
        <r>
          <rPr>
            <b/>
            <sz val="9"/>
            <color indexed="81"/>
            <rFont val="Tahoma"/>
            <family val="2"/>
          </rPr>
          <t xml:space="preserve">Days to Maturity:
</t>
        </r>
        <r>
          <rPr>
            <sz val="9"/>
            <color indexed="81"/>
            <rFont val="Tahoma"/>
            <family val="2"/>
          </rPr>
          <t>This will likely vary with climate and soil conditions, please adjust according to your own experience</t>
        </r>
      </text>
    </comment>
    <comment ref="O2" authorId="0" shapeId="0" xr:uid="{7889E278-173A-4963-BED3-3A14DD6C6048}">
      <text>
        <r>
          <rPr>
            <b/>
            <sz val="9"/>
            <color indexed="81"/>
            <rFont val="Tahoma"/>
            <family val="2"/>
          </rPr>
          <t xml:space="preserve">$ Value
</t>
        </r>
        <r>
          <rPr>
            <sz val="9"/>
            <color indexed="81"/>
            <rFont val="Tahoma"/>
            <family val="2"/>
          </rPr>
          <t>This will definitely vary according to your local market. Adjust as needed.</t>
        </r>
      </text>
    </comment>
    <comment ref="P2" authorId="0" shapeId="0" xr:uid="{4D28B5B0-DDF7-4B63-AC41-BF4449FD024C}">
      <text>
        <r>
          <rPr>
            <b/>
            <sz val="9"/>
            <color indexed="81"/>
            <rFont val="Tahoma"/>
            <family val="2"/>
          </rPr>
          <t xml:space="preserve">Planting Group:
</t>
        </r>
        <r>
          <rPr>
            <sz val="9"/>
            <color indexed="81"/>
            <rFont val="Tahoma"/>
            <family val="2"/>
          </rPr>
          <t>I've grouped various crops by their family and planting frequency. Feel free to amend as needed.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C2" authorId="0" shapeId="0" xr:uid="{08ECEB38-5937-408A-B1B9-8F2CD36BC335}">
      <text>
        <r>
          <rPr>
            <b/>
            <sz val="9"/>
            <color indexed="81"/>
            <rFont val="Tahoma"/>
            <family val="2"/>
          </rPr>
          <t xml:space="preserve">Days to Maturity:
</t>
        </r>
        <r>
          <rPr>
            <sz val="9"/>
            <color indexed="81"/>
            <rFont val="Tahoma"/>
            <family val="2"/>
          </rPr>
          <t>This will likely vary with climate and soil conditions, please adjust according to your own experience</t>
        </r>
      </text>
    </comment>
    <comment ref="R2" authorId="0" shapeId="0" xr:uid="{3134F572-6B96-44E9-9D2E-3EB7ECEE8EFE}">
      <text>
        <r>
          <rPr>
            <b/>
            <sz val="9"/>
            <color indexed="81"/>
            <rFont val="Tahoma"/>
            <family val="2"/>
          </rPr>
          <t xml:space="preserve">$ Value
</t>
        </r>
        <r>
          <rPr>
            <sz val="9"/>
            <color indexed="81"/>
            <rFont val="Tahoma"/>
            <family val="2"/>
          </rPr>
          <t>This will definitely vary according to your local market. Adjust as needed.</t>
        </r>
      </text>
    </comment>
    <comment ref="S2" authorId="0" shapeId="0" xr:uid="{D518D2F0-8AB9-4021-9E3A-100B795B1DB9}">
      <text>
        <r>
          <rPr>
            <b/>
            <sz val="9"/>
            <color indexed="81"/>
            <rFont val="Tahoma"/>
            <family val="2"/>
          </rPr>
          <t xml:space="preserve">Planting Group:
</t>
        </r>
        <r>
          <rPr>
            <sz val="9"/>
            <color indexed="81"/>
            <rFont val="Tahoma"/>
            <family val="2"/>
          </rPr>
          <t>I've grouped various crops by their family and planting frequency. Feel free to amend as needed.</t>
        </r>
      </text>
    </comment>
  </commentList>
</comments>
</file>

<file path=xl/sharedStrings.xml><?xml version="1.0" encoding="utf-8"?>
<sst xmlns="http://schemas.openxmlformats.org/spreadsheetml/2006/main" count="603" uniqueCount="233">
  <si>
    <t>Initial Capital</t>
  </si>
  <si>
    <t>Startup Costs</t>
  </si>
  <si>
    <t>Interest Rate</t>
  </si>
  <si>
    <t>PMT</t>
  </si>
  <si>
    <t>Margin</t>
  </si>
  <si>
    <t>IRR</t>
  </si>
  <si>
    <t>Season</t>
  </si>
  <si>
    <t>Shares</t>
  </si>
  <si>
    <t>Revenue</t>
  </si>
  <si>
    <t>Operating Expenses</t>
  </si>
  <si>
    <t>Profit</t>
  </si>
  <si>
    <t>Balance</t>
  </si>
  <si>
    <t>Crop</t>
  </si>
  <si>
    <t>$ Value</t>
  </si>
  <si>
    <t>bunch</t>
  </si>
  <si>
    <t>Basil</t>
  </si>
  <si>
    <t>Beans</t>
  </si>
  <si>
    <t>lb</t>
  </si>
  <si>
    <t>Broccoli</t>
  </si>
  <si>
    <t>Cilantro</t>
  </si>
  <si>
    <t>Cucumbers</t>
  </si>
  <si>
    <t>fruit</t>
  </si>
  <si>
    <t>Garlic</t>
  </si>
  <si>
    <t>Kale</t>
  </si>
  <si>
    <t>Kohlrabi</t>
  </si>
  <si>
    <t>Lettuce</t>
  </si>
  <si>
    <t>Onions</t>
  </si>
  <si>
    <t>Parsley</t>
  </si>
  <si>
    <t>Peas</t>
  </si>
  <si>
    <t>Peppers</t>
  </si>
  <si>
    <t>Potatoes</t>
  </si>
  <si>
    <t>Scallions</t>
  </si>
  <si>
    <t>Rows Per Bed</t>
  </si>
  <si>
    <t>Alliums</t>
  </si>
  <si>
    <t>Aster</t>
  </si>
  <si>
    <t>Brassica</t>
  </si>
  <si>
    <t>Radish-Spring</t>
  </si>
  <si>
    <t>Chenopods</t>
  </si>
  <si>
    <t>Cucurbits</t>
  </si>
  <si>
    <t>Squash-Summer</t>
  </si>
  <si>
    <t>Labiatea</t>
  </si>
  <si>
    <t>Legumes</t>
  </si>
  <si>
    <t>Solanacea</t>
  </si>
  <si>
    <t>Tomato</t>
  </si>
  <si>
    <t>Umbel</t>
  </si>
  <si>
    <t>Field Date</t>
  </si>
  <si>
    <t>Bed Length</t>
  </si>
  <si>
    <t>Harvest Date</t>
  </si>
  <si>
    <t>DTM</t>
  </si>
  <si>
    <t>Calculate Field Date</t>
  </si>
  <si>
    <t>Actual Field Date</t>
  </si>
  <si>
    <t>Harvest Needs</t>
  </si>
  <si>
    <t>Yield</t>
  </si>
  <si>
    <t>Field SF</t>
  </si>
  <si>
    <t>Calculate Per Week</t>
  </si>
  <si>
    <t>Calculate Per Planting</t>
  </si>
  <si>
    <t>Actual Per Planting</t>
  </si>
  <si>
    <t>Seeding Rate</t>
  </si>
  <si>
    <t>Family</t>
  </si>
  <si>
    <t>Dtm</t>
  </si>
  <si>
    <t>Planting Frequency</t>
  </si>
  <si>
    <t>Seeds Per Ft</t>
  </si>
  <si>
    <t>Seeds Per M</t>
  </si>
  <si>
    <t>Per Row Foot</t>
  </si>
  <si>
    <t>Units</t>
  </si>
  <si>
    <t>Per Row Meter</t>
  </si>
  <si>
    <t>Potential Profitability Per Acre</t>
  </si>
  <si>
    <t>Seeds per Gram</t>
  </si>
  <si>
    <t>2 – 4 Weeks</t>
  </si>
  <si>
    <t>kg</t>
  </si>
  <si>
    <t>low</t>
  </si>
  <si>
    <t>medium</t>
  </si>
  <si>
    <t>Brassica Greens</t>
  </si>
  <si>
    <t>1 – 2 Weeks</t>
  </si>
  <si>
    <t>high</t>
  </si>
  <si>
    <t>Corn</t>
  </si>
  <si>
    <t>Graminae</t>
  </si>
  <si>
    <t>2 Weeks</t>
  </si>
  <si>
    <t>ears</t>
  </si>
  <si>
    <t>4 Weeks</t>
  </si>
  <si>
    <t>Dill</t>
  </si>
  <si>
    <t>Once</t>
  </si>
  <si>
    <t>heads</t>
  </si>
  <si>
    <t>Parsnip</t>
  </si>
  <si>
    <t>Radish-Winter</t>
  </si>
  <si>
    <t>roots</t>
  </si>
  <si>
    <t>Spinach Large Leaf</t>
  </si>
  <si>
    <t>Squash-Winter</t>
  </si>
  <si>
    <t>Turnip</t>
  </si>
  <si>
    <t>Inrow Spacing</t>
  </si>
  <si>
    <t xml:space="preserve"> Family</t>
  </si>
  <si>
    <t xml:space="preserve"> Planting Frequency</t>
  </si>
  <si>
    <t>Ft</t>
  </si>
  <si>
    <t xml:space="preserve"> M</t>
  </si>
  <si>
    <t xml:space="preserve"> Per Row Foot</t>
  </si>
  <si>
    <t>Profit Per Acre</t>
  </si>
  <si>
    <t>Greenhouse Days</t>
  </si>
  <si>
    <t>Tray Size</t>
  </si>
  <si>
    <t>Seeds Per Cell</t>
  </si>
  <si>
    <t>Brussel Sprouts</t>
  </si>
  <si>
    <t>Cabbage-Storage</t>
  </si>
  <si>
    <t>Cabbage-Summer</t>
  </si>
  <si>
    <t>Cauliflower</t>
  </si>
  <si>
    <t>Celeriac</t>
  </si>
  <si>
    <t>Celery</t>
  </si>
  <si>
    <t>Chard</t>
  </si>
  <si>
    <t>Chinese Cabbage</t>
  </si>
  <si>
    <t>Eggplant</t>
  </si>
  <si>
    <t>Fennel</t>
  </si>
  <si>
    <t>Leeks</t>
  </si>
  <si>
    <t>1 – 3 Weeks</t>
  </si>
  <si>
    <t>Rutabaga</t>
  </si>
  <si>
    <t>Carrots-Bunched</t>
  </si>
  <si>
    <t>Beets-Bunched</t>
  </si>
  <si>
    <t>Carrots-Topped</t>
  </si>
  <si>
    <t>Beets-Topped</t>
  </si>
  <si>
    <t>Length of CSA Season</t>
  </si>
  <si>
    <t>Weeks</t>
  </si>
  <si>
    <t>Planting Interval</t>
  </si>
  <si>
    <t>Max Interval</t>
  </si>
  <si>
    <t>Planting Week</t>
  </si>
  <si>
    <t>Columns used for Planting Length</t>
  </si>
  <si>
    <t>Honeydew</t>
  </si>
  <si>
    <t>In Season?</t>
  </si>
  <si>
    <t>Month</t>
  </si>
  <si>
    <t>Watermelon</t>
  </si>
  <si>
    <t>lbs</t>
  </si>
  <si>
    <t>Mustard</t>
  </si>
  <si>
    <t>Okra</t>
  </si>
  <si>
    <t>Malvaceae</t>
  </si>
  <si>
    <t>Output</t>
  </si>
  <si>
    <t>Reference Data</t>
  </si>
  <si>
    <t>Length of Planting Season (months)</t>
  </si>
  <si>
    <t>Total Planting Months</t>
  </si>
  <si>
    <t>plant</t>
  </si>
  <si>
    <t>stalks</t>
  </si>
  <si>
    <t>bunches</t>
  </si>
  <si>
    <t>plants</t>
  </si>
  <si>
    <t>Inrow Spacing (ft)</t>
  </si>
  <si>
    <t>Planting Group</t>
  </si>
  <si>
    <t>A</t>
  </si>
  <si>
    <t>C</t>
  </si>
  <si>
    <t>B</t>
  </si>
  <si>
    <t>D</t>
  </si>
  <si>
    <t>E</t>
  </si>
  <si>
    <t>F</t>
  </si>
  <si>
    <t>z</t>
  </si>
  <si>
    <t>#</t>
  </si>
  <si>
    <t>GH Date</t>
  </si>
  <si>
    <t>Bed Length (Bed ft)</t>
  </si>
  <si>
    <t>GH SF</t>
  </si>
  <si>
    <t>Calculate Trays</t>
  </si>
  <si>
    <t>Actual Trays</t>
  </si>
  <si>
    <t>Greenhouse Required?</t>
  </si>
  <si>
    <t>Trays to Seed</t>
  </si>
  <si>
    <t>Trays to Pot Up</t>
  </si>
  <si>
    <t>Pot Up?</t>
  </si>
  <si>
    <t>Seeded Tray Size</t>
  </si>
  <si>
    <t>Pot Up Tray Size</t>
  </si>
  <si>
    <t>-</t>
  </si>
  <si>
    <t>For DS</t>
  </si>
  <si>
    <t>Rows per Bed</t>
  </si>
  <si>
    <t>Seed Rate</t>
  </si>
  <si>
    <t>Trays Seeded</t>
  </si>
  <si>
    <t>Seeds per cell</t>
  </si>
  <si>
    <t>Seed Count</t>
  </si>
  <si>
    <t>Seeds per gram</t>
  </si>
  <si>
    <t>Grams</t>
  </si>
  <si>
    <t>Ounces</t>
  </si>
  <si>
    <t>Pounds</t>
  </si>
  <si>
    <t>For TP</t>
  </si>
  <si>
    <t>Seed SF</t>
  </si>
  <si>
    <t>Instructions</t>
  </si>
  <si>
    <t>Bed Length (ft)</t>
  </si>
  <si>
    <t>First Planting Date</t>
  </si>
  <si>
    <t>Last Harvest Date</t>
  </si>
  <si>
    <t>Soil Disking</t>
  </si>
  <si>
    <t>S-tine Cultivation</t>
  </si>
  <si>
    <t>Rototiller</t>
  </si>
  <si>
    <t>Stale Seedbed</t>
  </si>
  <si>
    <t>Plant Cover Crop</t>
  </si>
  <si>
    <t>Week Ending in</t>
  </si>
  <si>
    <t>Field Prep</t>
  </si>
  <si>
    <t>Greenhouse</t>
  </si>
  <si>
    <t>Field Planting</t>
  </si>
  <si>
    <t>Plow in Cover Crop</t>
  </si>
  <si>
    <t>Update Reference Data Sheets</t>
  </si>
  <si>
    <t>Planting Constraints</t>
  </si>
  <si>
    <t>DS Crop Ref</t>
  </si>
  <si>
    <t>TP Crop Ref</t>
  </si>
  <si>
    <t>This sheet defines which months are suitable for planting which crops. A '1' indicates that a crop can be planted.</t>
  </si>
  <si>
    <t>This sheet defines the key parameters for directly seeded crops.</t>
  </si>
  <si>
    <t>This sheet defines the key parameters for transplanted crops.</t>
  </si>
  <si>
    <t>Number of Shares this season</t>
  </si>
  <si>
    <t>Price per weekly CSA Share</t>
  </si>
  <si>
    <t>Configure Annual Plan</t>
  </si>
  <si>
    <t>Annual Plan</t>
  </si>
  <si>
    <t>Step</t>
  </si>
  <si>
    <t>Sheet</t>
  </si>
  <si>
    <t>This sheet allows you to configure various business planning parameters. The start date, end date, and number of shares offered this season determine later calculations</t>
  </si>
  <si>
    <t>Populate Weekly CSA Share Content</t>
  </si>
  <si>
    <t>Weekly CSA Share Content</t>
  </si>
  <si>
    <t>Seed Sheet</t>
  </si>
  <si>
    <t>Greenhouse Schedule</t>
  </si>
  <si>
    <t>Crop Sheet</t>
  </si>
  <si>
    <t>Field Planting Schedule</t>
  </si>
  <si>
    <t>Field Ops</t>
  </si>
  <si>
    <t>Calendar</t>
  </si>
  <si>
    <t>Consolidated planting calendar, intended for daily reference</t>
  </si>
  <si>
    <t>This sheet calculates dates for various seedbed preparation operations for each planting group</t>
  </si>
  <si>
    <t>This sheet calculates the seed orders needed to start each crop for the season</t>
  </si>
  <si>
    <t>This sheet calculates the greenhouse work needed for transplanted crops.</t>
  </si>
  <si>
    <t>This sheet calculates the planting dates for each crop. Seedbeds are broken into groups according to the amount of group A/B/C/D/etc crops planted in a given month.</t>
  </si>
  <si>
    <t>This sheet helps visualize the planting schedule calculated in the Crop Sheet.</t>
  </si>
  <si>
    <t>https://garden.org/apps/calendar/?q=Louisville,%20KY</t>
  </si>
  <si>
    <t xml:space="preserve">Indicates planting dates based on </t>
  </si>
  <si>
    <t>*These parameters are based off the best information I could find online. Compare them against your own experience and let me know if I'm way off the mark.</t>
  </si>
  <si>
    <t>**For crops where I couldn't find reliable info, I left the planting interval blank</t>
  </si>
  <si>
    <t>This sheet allows you to configure how much of each crop you include in each week's CSA share. Green cells indicate available crops. Default plan is "One of Each".</t>
  </si>
  <si>
    <t>Planning Period Start</t>
  </si>
  <si>
    <t>Planning Period End</t>
  </si>
  <si>
    <t>Sheet Description</t>
  </si>
  <si>
    <t>Weekly CSA Harvest Target</t>
  </si>
  <si>
    <t>This sheet specifies the harvest targets needed to fill each week's CSA orders.</t>
  </si>
  <si>
    <t>Availability</t>
  </si>
  <si>
    <t>This sheet calculates the earliest availability of a given crop planted on a given date. It is used to drive the formatting of the Weekly CSA Share Content sheet.</t>
  </si>
  <si>
    <t>per month</t>
  </si>
  <si>
    <t>per year</t>
  </si>
  <si>
    <t>Base income needed to cover costs</t>
  </si>
  <si>
    <t>Review Farm Plan</t>
  </si>
  <si>
    <t>Once you've decided what you want to include in your CSA Shares, hit the Create Farm Plan button to generate your Operations Calendar, Seed Bill, Greenhouse, and Crop Schedules</t>
  </si>
  <si>
    <t>Once you have updated your Reference Data, hit the Recalculate Availability button to determine which crops will be available during your CSA season.</t>
  </si>
  <si>
    <t>User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</si>
</sst>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;[Red]&quot;-&quot;&quot;$&quot;#,##0.00"/>
    <numFmt numFmtId="165" formatCode="mm/dd/yy"/>
    <numFmt numFmtId="166" formatCode="mm/dd/yyyy"/>
  </numFmts>
  <fonts count="13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theme="1"/>
      <name val="Arial"/>
      <family val="2"/>
    </font>
    <font>
      <u/>
      <sz val="8"/>
      <color theme="1"/>
      <name val="Arial"/>
      <family val="2"/>
    </font>
    <font>
      <b/>
      <sz val="11"/>
      <color theme="0"/>
      <name val="Arial"/>
      <family val="2"/>
    </font>
    <font>
      <b/>
      <u val="singleAccounting"/>
      <sz val="11"/>
      <color theme="1"/>
      <name val="Arial"/>
      <family val="2"/>
    </font>
    <font>
      <sz val="11"/>
      <color rgb="FF000000"/>
      <name val="Arial"/>
      <family val="2"/>
    </font>
    <font>
      <u/>
      <sz val="11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rgb="FF000000"/>
      </bottom>
      <diagonal/>
    </border>
    <border>
      <left/>
      <right style="thin">
        <color theme="0"/>
      </right>
      <top style="thin">
        <color theme="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  <xf numFmtId="0" fontId="9" fillId="0" borderId="0" applyNumberFormat="0" applyFill="0" applyBorder="0" applyAlignment="0" applyProtection="0"/>
  </cellStyleXfs>
  <cellXfs count="70">
    <xf numFmtId="0" fontId="0" fillId="0" borderId="0" xfId="0"/>
    <xf numFmtId="0" fontId="6" fillId="2" borderId="2" xfId="4" applyFont="1" applyFill="1" applyBorder="1"/>
    <xf numFmtId="0" fontId="6" fillId="2" borderId="2" xfId="0" applyFont="1" applyFill="1" applyBorder="1"/>
    <xf numFmtId="0" fontId="3" fillId="0" borderId="3" xfId="4" applyBorder="1" applyAlignment="1">
      <alignment horizontal="center"/>
    </xf>
    <xf numFmtId="0" fontId="0" fillId="0" borderId="3" xfId="0" applyBorder="1" applyAlignment="1"/>
    <xf numFmtId="0" fontId="3" fillId="0" borderId="3" xfId="4" applyBorder="1" applyAlignment="1"/>
    <xf numFmtId="0" fontId="0" fillId="0" borderId="3" xfId="0" applyBorder="1"/>
    <xf numFmtId="1" fontId="0" fillId="0" borderId="3" xfId="0" applyNumberFormat="1" applyBorder="1"/>
    <xf numFmtId="0" fontId="3" fillId="0" borderId="5" xfId="4" applyBorder="1" applyAlignment="1">
      <alignment horizontal="center"/>
    </xf>
    <xf numFmtId="0" fontId="3" fillId="0" borderId="5" xfId="4" applyBorder="1"/>
    <xf numFmtId="0" fontId="3" fillId="0" borderId="6" xfId="4" applyBorder="1"/>
    <xf numFmtId="0" fontId="3" fillId="0" borderId="3" xfId="4" applyBorder="1"/>
    <xf numFmtId="0" fontId="0" fillId="0" borderId="3" xfId="0" applyFill="1" applyBorder="1"/>
    <xf numFmtId="0" fontId="0" fillId="0" borderId="3" xfId="0" applyFill="1" applyBorder="1" applyAlignme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0" borderId="3" xfId="4" applyFill="1" applyBorder="1"/>
    <xf numFmtId="0" fontId="0" fillId="0" borderId="4" xfId="0" applyBorder="1"/>
    <xf numFmtId="0" fontId="4" fillId="0" borderId="3" xfId="0" applyFont="1" applyFill="1" applyBorder="1"/>
    <xf numFmtId="44" fontId="0" fillId="0" borderId="3" xfId="1" applyFont="1" applyBorder="1"/>
    <xf numFmtId="0" fontId="0" fillId="0" borderId="0" xfId="0" applyFill="1"/>
    <xf numFmtId="0" fontId="6" fillId="2" borderId="10" xfId="4" applyFont="1" applyFill="1" applyBorder="1" applyAlignment="1"/>
    <xf numFmtId="0" fontId="6" fillId="2" borderId="11" xfId="4" applyFont="1" applyFill="1" applyBorder="1" applyAlignment="1"/>
    <xf numFmtId="0" fontId="6" fillId="2" borderId="7" xfId="4" applyFont="1" applyFill="1" applyBorder="1" applyAlignment="1"/>
    <xf numFmtId="0" fontId="4" fillId="0" borderId="0" xfId="0" applyFont="1"/>
    <xf numFmtId="0" fontId="5" fillId="0" borderId="9" xfId="4" applyFont="1" applyBorder="1" applyAlignment="1">
      <alignment horizontal="center"/>
    </xf>
    <xf numFmtId="0" fontId="3" fillId="0" borderId="9" xfId="4" applyBorder="1" applyAlignment="1">
      <alignment horizontal="center"/>
    </xf>
    <xf numFmtId="0" fontId="0" fillId="0" borderId="9" xfId="0" applyBorder="1" applyAlignment="1"/>
    <xf numFmtId="0" fontId="6" fillId="2" borderId="7" xfId="4" applyFont="1" applyFill="1" applyBorder="1"/>
    <xf numFmtId="164" fontId="0" fillId="4" borderId="0" xfId="0" applyNumberFormat="1" applyFill="1"/>
    <xf numFmtId="10" fontId="0" fillId="4" borderId="0" xfId="0" applyNumberFormat="1" applyFill="1"/>
    <xf numFmtId="165" fontId="4" fillId="4" borderId="1" xfId="2" applyNumberFormat="1" applyFont="1" applyFill="1" applyBorder="1">
      <alignment horizontal="center"/>
    </xf>
    <xf numFmtId="0" fontId="6" fillId="2" borderId="17" xfId="4" applyFont="1" applyFill="1" applyBorder="1"/>
    <xf numFmtId="166" fontId="0" fillId="0" borderId="0" xfId="0" applyNumberFormat="1"/>
    <xf numFmtId="166" fontId="6" fillId="2" borderId="7" xfId="4" applyNumberFormat="1" applyFont="1" applyFill="1" applyBorder="1" applyAlignment="1"/>
    <xf numFmtId="1" fontId="6" fillId="2" borderId="7" xfId="4" applyNumberFormat="1" applyFont="1" applyFill="1" applyBorder="1" applyAlignment="1"/>
    <xf numFmtId="1" fontId="0" fillId="0" borderId="0" xfId="0" applyNumberFormat="1"/>
    <xf numFmtId="0" fontId="6" fillId="2" borderId="17" xfId="4" applyFont="1" applyFill="1" applyBorder="1" applyAlignment="1"/>
    <xf numFmtId="0" fontId="0" fillId="0" borderId="0" xfId="0" applyBorder="1"/>
    <xf numFmtId="0" fontId="0" fillId="6" borderId="0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Border="1" applyAlignment="1"/>
    <xf numFmtId="0" fontId="9" fillId="0" borderId="0" xfId="6"/>
    <xf numFmtId="0" fontId="0" fillId="0" borderId="0" xfId="0" applyFill="1" applyBorder="1"/>
    <xf numFmtId="164" fontId="0" fillId="0" borderId="0" xfId="0" applyNumberFormat="1" applyFill="1"/>
    <xf numFmtId="44" fontId="0" fillId="0" borderId="0" xfId="0" applyNumberFormat="1" applyFill="1"/>
    <xf numFmtId="44" fontId="7" fillId="0" borderId="0" xfId="0" applyNumberFormat="1" applyFont="1" applyFill="1"/>
    <xf numFmtId="10" fontId="0" fillId="0" borderId="0" xfId="0" applyNumberFormat="1" applyFill="1"/>
    <xf numFmtId="0" fontId="0" fillId="0" borderId="0" xfId="0" applyBorder="1" applyAlignment="1">
      <alignment horizontal="center" vertical="center"/>
    </xf>
    <xf numFmtId="166" fontId="6" fillId="2" borderId="7" xfId="4" applyNumberFormat="1" applyFont="1" applyFill="1" applyBorder="1"/>
    <xf numFmtId="0" fontId="0" fillId="0" borderId="4" xfId="0" applyFill="1" applyBorder="1"/>
    <xf numFmtId="0" fontId="4" fillId="0" borderId="4" xfId="0" applyFont="1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44" fontId="4" fillId="0" borderId="0" xfId="0" applyNumberFormat="1" applyFont="1" applyFill="1" applyAlignment="1">
      <alignment horizontal="center" vertical="center" wrapText="1"/>
    </xf>
    <xf numFmtId="0" fontId="6" fillId="2" borderId="7" xfId="4" applyFont="1" applyFill="1" applyBorder="1" applyAlignment="1">
      <alignment horizontal="center"/>
    </xf>
    <xf numFmtId="0" fontId="6" fillId="2" borderId="17" xfId="4" applyFont="1" applyFill="1" applyBorder="1" applyAlignment="1">
      <alignment horizontal="center"/>
    </xf>
    <xf numFmtId="0" fontId="6" fillId="2" borderId="14" xfId="4" applyFont="1" applyFill="1" applyBorder="1" applyAlignment="1">
      <alignment horizontal="center"/>
    </xf>
    <xf numFmtId="0" fontId="6" fillId="2" borderId="15" xfId="4" applyFont="1" applyFill="1" applyBorder="1" applyAlignment="1">
      <alignment horizontal="center"/>
    </xf>
    <xf numFmtId="0" fontId="6" fillId="2" borderId="16" xfId="4" applyFont="1" applyFill="1" applyBorder="1" applyAlignment="1">
      <alignment horizontal="center"/>
    </xf>
    <xf numFmtId="0" fontId="6" fillId="2" borderId="2" xfId="4" applyFont="1" applyFill="1" applyBorder="1" applyAlignment="1">
      <alignment horizontal="center"/>
    </xf>
    <xf numFmtId="0" fontId="6" fillId="2" borderId="12" xfId="4" applyFont="1" applyFill="1" applyBorder="1" applyAlignment="1">
      <alignment horizontal="center"/>
    </xf>
    <xf numFmtId="0" fontId="6" fillId="2" borderId="13" xfId="4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3" fillId="0" borderId="5" xfId="4" applyFill="1" applyBorder="1" applyAlignment="1">
      <alignment horizontal="center"/>
    </xf>
    <xf numFmtId="0" fontId="3" fillId="0" borderId="9" xfId="4" applyFill="1" applyBorder="1" applyAlignment="1">
      <alignment horizontal="center"/>
    </xf>
    <xf numFmtId="0" fontId="3" fillId="0" borderId="3" xfId="4" applyFill="1" applyBorder="1" applyAlignment="1">
      <alignment horizontal="center"/>
    </xf>
  </cellXfs>
  <cellStyles count="7">
    <cellStyle name="Currency" xfId="1" builtinId="4"/>
    <cellStyle name="Heading" xfId="2" xr:uid="{00000000-0005-0000-0000-000001000000}"/>
    <cellStyle name="Heading1" xfId="3" xr:uid="{00000000-0005-0000-0000-000002000000}"/>
    <cellStyle name="Hyperlink" xfId="6" builtinId="8"/>
    <cellStyle name="Normal" xfId="0" builtinId="0" customBuiltin="1"/>
    <cellStyle name="Result" xfId="4" xr:uid="{00000000-0005-0000-0000-000004000000}"/>
    <cellStyle name="Result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0</xdr:row>
          <xdr:rowOff>85725</xdr:rowOff>
        </xdr:from>
        <xdr:to>
          <xdr:col>2</xdr:col>
          <xdr:colOff>847725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Recalculate Availability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0</xdr:row>
          <xdr:rowOff>85725</xdr:rowOff>
        </xdr:from>
        <xdr:to>
          <xdr:col>2</xdr:col>
          <xdr:colOff>2324100</xdr:colOff>
          <xdr:row>2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Farm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9124950</xdr:colOff>
          <xdr:row>0</xdr:row>
          <xdr:rowOff>95250</xdr:rowOff>
        </xdr:from>
        <xdr:to>
          <xdr:col>4</xdr:col>
          <xdr:colOff>10706100</xdr:colOff>
          <xdr:row>2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22701-EAE5-4042-B413-6F11E366B315}">
  <sheetPr codeName="Sheet12"/>
  <dimension ref="A1:F27"/>
  <sheetViews>
    <sheetView tabSelected="1" workbookViewId="0"/>
  </sheetViews>
  <sheetFormatPr defaultRowHeight="14.25" x14ac:dyDescent="0.2"/>
  <cols>
    <col min="1" max="1" width="13.875" bestFit="1" customWidth="1"/>
    <col min="2" max="2" width="1.875" bestFit="1" customWidth="1"/>
    <col min="3" max="3" width="31.625" bestFit="1" customWidth="1"/>
    <col min="4" max="4" width="23.75" bestFit="1" customWidth="1"/>
    <col min="5" max="5" width="141.625" bestFit="1" customWidth="1"/>
    <col min="6" max="6" width="3.375" customWidth="1"/>
  </cols>
  <sheetData>
    <row r="1" spans="1:6" x14ac:dyDescent="0.2">
      <c r="A1" s="14" t="s">
        <v>131</v>
      </c>
    </row>
    <row r="2" spans="1:6" x14ac:dyDescent="0.2">
      <c r="A2" s="15" t="s">
        <v>232</v>
      </c>
    </row>
    <row r="3" spans="1:6" x14ac:dyDescent="0.2">
      <c r="A3" s="16" t="s">
        <v>130</v>
      </c>
    </row>
    <row r="5" spans="1:6" ht="15" x14ac:dyDescent="0.25">
      <c r="A5" s="24" t="s">
        <v>172</v>
      </c>
      <c r="B5" s="24" t="s">
        <v>147</v>
      </c>
      <c r="C5" s="24" t="s">
        <v>197</v>
      </c>
      <c r="D5" s="24" t="s">
        <v>198</v>
      </c>
      <c r="E5" s="24" t="s">
        <v>221</v>
      </c>
      <c r="F5" s="24"/>
    </row>
    <row r="6" spans="1:6" x14ac:dyDescent="0.2">
      <c r="A6" s="40"/>
      <c r="B6" s="40"/>
      <c r="C6" s="40"/>
      <c r="D6" s="40"/>
      <c r="E6" s="40"/>
      <c r="F6" s="40"/>
    </row>
    <row r="7" spans="1:6" x14ac:dyDescent="0.2">
      <c r="A7" s="40"/>
      <c r="B7" s="53">
        <v>1</v>
      </c>
      <c r="C7" s="53" t="s">
        <v>186</v>
      </c>
      <c r="D7" s="14" t="s">
        <v>187</v>
      </c>
      <c r="E7" s="39" t="s">
        <v>190</v>
      </c>
      <c r="F7" s="40"/>
    </row>
    <row r="8" spans="1:6" x14ac:dyDescent="0.2">
      <c r="A8" s="40"/>
      <c r="B8" s="53"/>
      <c r="C8" s="53"/>
      <c r="D8" s="14" t="s">
        <v>188</v>
      </c>
      <c r="E8" s="39" t="s">
        <v>191</v>
      </c>
      <c r="F8" s="40"/>
    </row>
    <row r="9" spans="1:6" x14ac:dyDescent="0.2">
      <c r="A9" s="40"/>
      <c r="B9" s="53"/>
      <c r="C9" s="53"/>
      <c r="D9" s="14" t="s">
        <v>189</v>
      </c>
      <c r="E9" s="39" t="s">
        <v>192</v>
      </c>
      <c r="F9" s="40"/>
    </row>
    <row r="10" spans="1:6" x14ac:dyDescent="0.2">
      <c r="A10" s="40"/>
      <c r="B10" s="40"/>
      <c r="C10" s="40"/>
      <c r="D10" s="40"/>
      <c r="E10" s="40"/>
      <c r="F10" s="40"/>
    </row>
    <row r="11" spans="1:6" x14ac:dyDescent="0.2">
      <c r="A11" s="40"/>
      <c r="B11" s="49">
        <v>2</v>
      </c>
      <c r="C11" s="54" t="s">
        <v>231</v>
      </c>
      <c r="D11" s="54"/>
      <c r="E11" s="54"/>
      <c r="F11" s="40"/>
    </row>
    <row r="12" spans="1:6" x14ac:dyDescent="0.2">
      <c r="A12" s="40"/>
      <c r="B12" s="40"/>
      <c r="C12" s="40"/>
      <c r="D12" s="40"/>
      <c r="E12" s="40"/>
      <c r="F12" s="40"/>
    </row>
    <row r="13" spans="1:6" x14ac:dyDescent="0.2">
      <c r="A13" s="40"/>
      <c r="B13" s="41">
        <v>3</v>
      </c>
      <c r="C13" s="41" t="s">
        <v>195</v>
      </c>
      <c r="D13" s="15" t="s">
        <v>196</v>
      </c>
      <c r="E13" s="39" t="s">
        <v>199</v>
      </c>
      <c r="F13" s="40"/>
    </row>
    <row r="14" spans="1:6" x14ac:dyDescent="0.2">
      <c r="A14" s="40"/>
      <c r="B14" s="40"/>
      <c r="C14" s="40"/>
      <c r="D14" s="40"/>
      <c r="E14" s="40"/>
      <c r="F14" s="40"/>
    </row>
    <row r="15" spans="1:6" x14ac:dyDescent="0.2">
      <c r="A15" s="40"/>
      <c r="B15" s="41">
        <v>4</v>
      </c>
      <c r="C15" s="41" t="s">
        <v>200</v>
      </c>
      <c r="D15" s="15" t="s">
        <v>201</v>
      </c>
      <c r="E15" s="39" t="s">
        <v>218</v>
      </c>
      <c r="F15" s="40"/>
    </row>
    <row r="16" spans="1:6" x14ac:dyDescent="0.2">
      <c r="A16" s="40"/>
      <c r="B16" s="40"/>
      <c r="C16" s="40"/>
      <c r="D16" s="40"/>
      <c r="E16" s="40"/>
      <c r="F16" s="40"/>
    </row>
    <row r="17" spans="1:6" x14ac:dyDescent="0.2">
      <c r="A17" s="40"/>
      <c r="B17" s="49">
        <v>5</v>
      </c>
      <c r="C17" s="54" t="s">
        <v>230</v>
      </c>
      <c r="D17" s="54"/>
      <c r="E17" s="54"/>
      <c r="F17" s="40"/>
    </row>
    <row r="18" spans="1:6" x14ac:dyDescent="0.2">
      <c r="A18" s="40"/>
      <c r="B18" s="40"/>
      <c r="C18" s="40"/>
      <c r="D18" s="40"/>
      <c r="E18" s="40"/>
      <c r="F18" s="40"/>
    </row>
    <row r="19" spans="1:6" x14ac:dyDescent="0.2">
      <c r="A19" s="40"/>
      <c r="B19" s="53">
        <v>6</v>
      </c>
      <c r="C19" s="53" t="s">
        <v>229</v>
      </c>
      <c r="D19" s="16" t="s">
        <v>202</v>
      </c>
      <c r="E19" s="39" t="s">
        <v>210</v>
      </c>
      <c r="F19" s="40"/>
    </row>
    <row r="20" spans="1:6" x14ac:dyDescent="0.2">
      <c r="A20" s="40"/>
      <c r="B20" s="53"/>
      <c r="C20" s="53"/>
      <c r="D20" s="16" t="s">
        <v>203</v>
      </c>
      <c r="E20" s="39" t="s">
        <v>211</v>
      </c>
      <c r="F20" s="40"/>
    </row>
    <row r="21" spans="1:6" x14ac:dyDescent="0.2">
      <c r="A21" s="40"/>
      <c r="B21" s="53"/>
      <c r="C21" s="53"/>
      <c r="D21" s="16" t="s">
        <v>204</v>
      </c>
      <c r="E21" s="39" t="s">
        <v>212</v>
      </c>
      <c r="F21" s="40"/>
    </row>
    <row r="22" spans="1:6" x14ac:dyDescent="0.2">
      <c r="A22" s="40"/>
      <c r="B22" s="53"/>
      <c r="C22" s="53"/>
      <c r="D22" s="16" t="s">
        <v>205</v>
      </c>
      <c r="E22" s="39" t="s">
        <v>213</v>
      </c>
      <c r="F22" s="40"/>
    </row>
    <row r="23" spans="1:6" x14ac:dyDescent="0.2">
      <c r="A23" s="40"/>
      <c r="B23" s="53"/>
      <c r="C23" s="53"/>
      <c r="D23" s="16" t="s">
        <v>206</v>
      </c>
      <c r="E23" s="39" t="s">
        <v>209</v>
      </c>
      <c r="F23" s="40"/>
    </row>
    <row r="24" spans="1:6" x14ac:dyDescent="0.2">
      <c r="A24" s="40"/>
      <c r="B24" s="53"/>
      <c r="C24" s="53"/>
      <c r="D24" s="16" t="s">
        <v>222</v>
      </c>
      <c r="E24" s="44" t="s">
        <v>223</v>
      </c>
      <c r="F24" s="40"/>
    </row>
    <row r="25" spans="1:6" x14ac:dyDescent="0.2">
      <c r="A25" s="40"/>
      <c r="B25" s="53"/>
      <c r="C25" s="53"/>
      <c r="D25" s="16" t="s">
        <v>224</v>
      </c>
      <c r="E25" s="44" t="s">
        <v>225</v>
      </c>
      <c r="F25" s="40"/>
    </row>
    <row r="26" spans="1:6" x14ac:dyDescent="0.2">
      <c r="A26" s="40"/>
      <c r="B26" s="53"/>
      <c r="C26" s="53"/>
      <c r="D26" s="16" t="s">
        <v>207</v>
      </c>
      <c r="E26" s="39" t="s">
        <v>208</v>
      </c>
      <c r="F26" s="40"/>
    </row>
    <row r="27" spans="1:6" x14ac:dyDescent="0.2">
      <c r="A27" s="40"/>
      <c r="B27" s="40"/>
      <c r="C27" s="40"/>
      <c r="D27" s="40"/>
      <c r="E27" s="40"/>
      <c r="F27" s="40"/>
    </row>
  </sheetData>
  <mergeCells count="6">
    <mergeCell ref="B19:B26"/>
    <mergeCell ref="C19:C26"/>
    <mergeCell ref="B7:B9"/>
    <mergeCell ref="C7:C9"/>
    <mergeCell ref="C11:E11"/>
    <mergeCell ref="C17:E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Availability">
                <anchor moveWithCells="1" sizeWithCells="1">
                  <from>
                    <xdr:col>1</xdr:col>
                    <xdr:colOff>1390650</xdr:colOff>
                    <xdr:row>0</xdr:row>
                    <xdr:rowOff>85725</xdr:rowOff>
                  </from>
                  <to>
                    <xdr:col>2</xdr:col>
                    <xdr:colOff>847725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FarmPlan">
                <anchor moveWithCells="1" sizeWithCells="1">
                  <from>
                    <xdr:col>2</xdr:col>
                    <xdr:colOff>952500</xdr:colOff>
                    <xdr:row>0</xdr:row>
                    <xdr:rowOff>85725</xdr:rowOff>
                  </from>
                  <to>
                    <xdr:col>2</xdr:col>
                    <xdr:colOff>2324100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resetWorkbook">
                <anchor moveWithCells="1" sizeWithCells="1">
                  <from>
                    <xdr:col>4</xdr:col>
                    <xdr:colOff>9124950</xdr:colOff>
                    <xdr:row>0</xdr:row>
                    <xdr:rowOff>95250</xdr:rowOff>
                  </from>
                  <to>
                    <xdr:col>4</xdr:col>
                    <xdr:colOff>10706100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79998168889431442"/>
  </sheetPr>
  <dimension ref="A1:I43"/>
  <sheetViews>
    <sheetView zoomScale="85" zoomScaleNormal="85" workbookViewId="0"/>
  </sheetViews>
  <sheetFormatPr defaultRowHeight="14.25" x14ac:dyDescent="0.2"/>
  <cols>
    <col min="1" max="1" width="26.5" bestFit="1" customWidth="1"/>
    <col min="2" max="3" width="11.125" bestFit="1" customWidth="1"/>
    <col min="4" max="4" width="19.25" bestFit="1" customWidth="1"/>
    <col min="5" max="5" width="11.125" bestFit="1" customWidth="1"/>
    <col min="6" max="6" width="12.625" bestFit="1" customWidth="1"/>
    <col min="7" max="7" width="33.875" bestFit="1" customWidth="1"/>
    <col min="8" max="8" width="11.25" bestFit="1" customWidth="1"/>
    <col min="9" max="9" width="9.25" bestFit="1" customWidth="1"/>
  </cols>
  <sheetData>
    <row r="1" spans="1:9" ht="15" x14ac:dyDescent="0.25">
      <c r="A1" t="s">
        <v>194</v>
      </c>
      <c r="B1" s="45" t="e">
        <f>(SUM('Weekly CSA Share Content'!#REF!)/2)/B2</f>
        <v>#REF!</v>
      </c>
      <c r="D1" t="s">
        <v>219</v>
      </c>
      <c r="E1" s="32">
        <v>44197</v>
      </c>
    </row>
    <row r="2" spans="1:9" ht="15" x14ac:dyDescent="0.25">
      <c r="A2" t="s">
        <v>116</v>
      </c>
      <c r="B2" s="21" t="e">
        <f>COUNTIFS('Weekly CSA Share Content'!#REF!,"&gt;0")-1</f>
        <v>#REF!</v>
      </c>
      <c r="C2" t="s">
        <v>117</v>
      </c>
      <c r="D2" t="s">
        <v>220</v>
      </c>
      <c r="E2" s="32">
        <v>44561</v>
      </c>
    </row>
    <row r="3" spans="1:9" x14ac:dyDescent="0.2">
      <c r="A3" t="s">
        <v>193</v>
      </c>
      <c r="B3" s="15">
        <v>5</v>
      </c>
    </row>
    <row r="4" spans="1:9" x14ac:dyDescent="0.2">
      <c r="A4" t="s">
        <v>0</v>
      </c>
      <c r="B4" s="30">
        <v>25000</v>
      </c>
    </row>
    <row r="5" spans="1:9" x14ac:dyDescent="0.2">
      <c r="A5" t="s">
        <v>1</v>
      </c>
      <c r="B5" s="30">
        <v>150000</v>
      </c>
    </row>
    <row r="6" spans="1:9" x14ac:dyDescent="0.2">
      <c r="A6" t="s">
        <v>2</v>
      </c>
      <c r="B6" s="31">
        <v>0.05</v>
      </c>
    </row>
    <row r="7" spans="1:9" ht="19.5" x14ac:dyDescent="0.55000000000000004">
      <c r="A7" t="s">
        <v>3</v>
      </c>
      <c r="B7" s="45">
        <f>PMT(B6, 30, B5)</f>
        <v>-9757.7152620414872</v>
      </c>
      <c r="C7" s="46" t="s">
        <v>227</v>
      </c>
      <c r="D7" s="45">
        <f>B7/12</f>
        <v>-813.14293850345723</v>
      </c>
      <c r="E7" s="21" t="s">
        <v>226</v>
      </c>
      <c r="G7" s="55" t="s">
        <v>228</v>
      </c>
      <c r="H7" s="47">
        <f>D7/-0.3</f>
        <v>2710.4764616781908</v>
      </c>
      <c r="I7" t="s">
        <v>226</v>
      </c>
    </row>
    <row r="8" spans="1:9" ht="19.5" x14ac:dyDescent="0.55000000000000004">
      <c r="A8" t="s">
        <v>4</v>
      </c>
      <c r="B8" s="31">
        <v>0.4</v>
      </c>
      <c r="G8" s="55"/>
      <c r="H8" s="47">
        <f>H7*12</f>
        <v>32525.717540138292</v>
      </c>
      <c r="I8" t="s">
        <v>227</v>
      </c>
    </row>
    <row r="9" spans="1:9" x14ac:dyDescent="0.2">
      <c r="A9" t="s">
        <v>5</v>
      </c>
      <c r="B9" s="48" t="e">
        <f>IRR(E14:E43)</f>
        <v>#VALUE!</v>
      </c>
    </row>
    <row r="13" spans="1:9" ht="15" x14ac:dyDescent="0.25">
      <c r="A13" s="25" t="s">
        <v>6</v>
      </c>
      <c r="B13" s="25" t="s">
        <v>7</v>
      </c>
      <c r="C13" s="25" t="s">
        <v>8</v>
      </c>
      <c r="D13" s="25" t="s">
        <v>9</v>
      </c>
      <c r="E13" s="25" t="s">
        <v>10</v>
      </c>
      <c r="F13" s="25" t="s">
        <v>11</v>
      </c>
    </row>
    <row r="14" spans="1:9" x14ac:dyDescent="0.2">
      <c r="A14">
        <v>1</v>
      </c>
      <c r="B14" s="15">
        <v>5</v>
      </c>
      <c r="C14" s="45" t="e">
        <f>B14*$B$1*$B$2</f>
        <v>#REF!</v>
      </c>
      <c r="D14" s="45" t="e">
        <f>-(1-$B$8)*C14</f>
        <v>#REF!</v>
      </c>
      <c r="E14" s="45" t="e">
        <f t="shared" ref="E14:E43" si="0">C14+D14+$B$7</f>
        <v>#REF!</v>
      </c>
      <c r="F14" s="45" t="e">
        <f>B4+E14</f>
        <v>#REF!</v>
      </c>
    </row>
    <row r="15" spans="1:9" x14ac:dyDescent="0.2">
      <c r="A15">
        <f t="shared" ref="A15:A43" si="1">A14+1</f>
        <v>2</v>
      </c>
      <c r="B15" s="15">
        <v>10</v>
      </c>
      <c r="C15" s="45" t="e">
        <f t="shared" ref="C15:C43" si="2">B15*$B$1*$B$2</f>
        <v>#REF!</v>
      </c>
      <c r="D15" s="45" t="e">
        <f t="shared" ref="D15:D43" si="3">-(1-$B$8)*C15</f>
        <v>#REF!</v>
      </c>
      <c r="E15" s="45" t="e">
        <f t="shared" si="0"/>
        <v>#REF!</v>
      </c>
      <c r="F15" s="45" t="e">
        <f t="shared" ref="F15:F43" si="4">F14+E15</f>
        <v>#REF!</v>
      </c>
    </row>
    <row r="16" spans="1:9" x14ac:dyDescent="0.2">
      <c r="A16">
        <f t="shared" si="1"/>
        <v>3</v>
      </c>
      <c r="B16" s="15">
        <v>20</v>
      </c>
      <c r="C16" s="45" t="e">
        <f t="shared" si="2"/>
        <v>#REF!</v>
      </c>
      <c r="D16" s="45" t="e">
        <f>-(1-$B$8)*C16</f>
        <v>#REF!</v>
      </c>
      <c r="E16" s="45" t="e">
        <f t="shared" si="0"/>
        <v>#REF!</v>
      </c>
      <c r="F16" s="45" t="e">
        <f t="shared" si="4"/>
        <v>#REF!</v>
      </c>
    </row>
    <row r="17" spans="1:6" x14ac:dyDescent="0.2">
      <c r="A17">
        <f t="shared" si="1"/>
        <v>4</v>
      </c>
      <c r="B17" s="15">
        <v>40</v>
      </c>
      <c r="C17" s="45" t="e">
        <f t="shared" si="2"/>
        <v>#REF!</v>
      </c>
      <c r="D17" s="45" t="e">
        <f t="shared" si="3"/>
        <v>#REF!</v>
      </c>
      <c r="E17" s="45" t="e">
        <f t="shared" si="0"/>
        <v>#REF!</v>
      </c>
      <c r="F17" s="45" t="e">
        <f t="shared" si="4"/>
        <v>#REF!</v>
      </c>
    </row>
    <row r="18" spans="1:6" x14ac:dyDescent="0.2">
      <c r="A18">
        <f t="shared" si="1"/>
        <v>5</v>
      </c>
      <c r="B18" s="15">
        <v>80</v>
      </c>
      <c r="C18" s="45" t="e">
        <f t="shared" si="2"/>
        <v>#REF!</v>
      </c>
      <c r="D18" s="45" t="e">
        <f t="shared" si="3"/>
        <v>#REF!</v>
      </c>
      <c r="E18" s="45" t="e">
        <f t="shared" si="0"/>
        <v>#REF!</v>
      </c>
      <c r="F18" s="45" t="e">
        <f t="shared" si="4"/>
        <v>#REF!</v>
      </c>
    </row>
    <row r="19" spans="1:6" x14ac:dyDescent="0.2">
      <c r="A19">
        <f t="shared" si="1"/>
        <v>6</v>
      </c>
      <c r="B19" s="15">
        <v>120</v>
      </c>
      <c r="C19" s="45" t="e">
        <f t="shared" si="2"/>
        <v>#REF!</v>
      </c>
      <c r="D19" s="45" t="e">
        <f t="shared" si="3"/>
        <v>#REF!</v>
      </c>
      <c r="E19" s="45" t="e">
        <f t="shared" si="0"/>
        <v>#REF!</v>
      </c>
      <c r="F19" s="45" t="e">
        <f t="shared" si="4"/>
        <v>#REF!</v>
      </c>
    </row>
    <row r="20" spans="1:6" x14ac:dyDescent="0.2">
      <c r="A20">
        <f t="shared" si="1"/>
        <v>7</v>
      </c>
      <c r="B20" s="15">
        <v>160</v>
      </c>
      <c r="C20" s="45" t="e">
        <f t="shared" si="2"/>
        <v>#REF!</v>
      </c>
      <c r="D20" s="45" t="e">
        <f t="shared" si="3"/>
        <v>#REF!</v>
      </c>
      <c r="E20" s="45" t="e">
        <f t="shared" si="0"/>
        <v>#REF!</v>
      </c>
      <c r="F20" s="45" t="e">
        <f t="shared" si="4"/>
        <v>#REF!</v>
      </c>
    </row>
    <row r="21" spans="1:6" x14ac:dyDescent="0.2">
      <c r="A21">
        <f t="shared" si="1"/>
        <v>8</v>
      </c>
      <c r="B21" s="15">
        <v>200</v>
      </c>
      <c r="C21" s="45" t="e">
        <f t="shared" si="2"/>
        <v>#REF!</v>
      </c>
      <c r="D21" s="45" t="e">
        <f t="shared" si="3"/>
        <v>#REF!</v>
      </c>
      <c r="E21" s="45" t="e">
        <f t="shared" si="0"/>
        <v>#REF!</v>
      </c>
      <c r="F21" s="45" t="e">
        <f t="shared" si="4"/>
        <v>#REF!</v>
      </c>
    </row>
    <row r="22" spans="1:6" x14ac:dyDescent="0.2">
      <c r="A22">
        <f t="shared" si="1"/>
        <v>9</v>
      </c>
      <c r="B22" s="15">
        <v>225</v>
      </c>
      <c r="C22" s="45" t="e">
        <f t="shared" si="2"/>
        <v>#REF!</v>
      </c>
      <c r="D22" s="45" t="e">
        <f t="shared" si="3"/>
        <v>#REF!</v>
      </c>
      <c r="E22" s="45" t="e">
        <f t="shared" si="0"/>
        <v>#REF!</v>
      </c>
      <c r="F22" s="45" t="e">
        <f t="shared" si="4"/>
        <v>#REF!</v>
      </c>
    </row>
    <row r="23" spans="1:6" x14ac:dyDescent="0.2">
      <c r="A23">
        <f t="shared" si="1"/>
        <v>10</v>
      </c>
      <c r="B23" s="15">
        <v>250</v>
      </c>
      <c r="C23" s="45" t="e">
        <f t="shared" si="2"/>
        <v>#REF!</v>
      </c>
      <c r="D23" s="45" t="e">
        <f t="shared" si="3"/>
        <v>#REF!</v>
      </c>
      <c r="E23" s="45" t="e">
        <f t="shared" si="0"/>
        <v>#REF!</v>
      </c>
      <c r="F23" s="45" t="e">
        <f t="shared" si="4"/>
        <v>#REF!</v>
      </c>
    </row>
    <row r="24" spans="1:6" x14ac:dyDescent="0.2">
      <c r="A24">
        <f t="shared" si="1"/>
        <v>11</v>
      </c>
      <c r="B24" s="15">
        <v>250</v>
      </c>
      <c r="C24" s="45" t="e">
        <f t="shared" si="2"/>
        <v>#REF!</v>
      </c>
      <c r="D24" s="45" t="e">
        <f t="shared" si="3"/>
        <v>#REF!</v>
      </c>
      <c r="E24" s="45" t="e">
        <f t="shared" si="0"/>
        <v>#REF!</v>
      </c>
      <c r="F24" s="45" t="e">
        <f t="shared" si="4"/>
        <v>#REF!</v>
      </c>
    </row>
    <row r="25" spans="1:6" x14ac:dyDescent="0.2">
      <c r="A25">
        <f t="shared" si="1"/>
        <v>12</v>
      </c>
      <c r="B25" s="15">
        <v>250</v>
      </c>
      <c r="C25" s="45" t="e">
        <f t="shared" si="2"/>
        <v>#REF!</v>
      </c>
      <c r="D25" s="45" t="e">
        <f t="shared" si="3"/>
        <v>#REF!</v>
      </c>
      <c r="E25" s="45" t="e">
        <f t="shared" si="0"/>
        <v>#REF!</v>
      </c>
      <c r="F25" s="45" t="e">
        <f t="shared" si="4"/>
        <v>#REF!</v>
      </c>
    </row>
    <row r="26" spans="1:6" x14ac:dyDescent="0.2">
      <c r="A26">
        <f t="shared" si="1"/>
        <v>13</v>
      </c>
      <c r="B26" s="15">
        <v>250</v>
      </c>
      <c r="C26" s="45" t="e">
        <f t="shared" si="2"/>
        <v>#REF!</v>
      </c>
      <c r="D26" s="45" t="e">
        <f t="shared" si="3"/>
        <v>#REF!</v>
      </c>
      <c r="E26" s="45" t="e">
        <f t="shared" si="0"/>
        <v>#REF!</v>
      </c>
      <c r="F26" s="45" t="e">
        <f t="shared" si="4"/>
        <v>#REF!</v>
      </c>
    </row>
    <row r="27" spans="1:6" x14ac:dyDescent="0.2">
      <c r="A27">
        <f t="shared" si="1"/>
        <v>14</v>
      </c>
      <c r="B27" s="15">
        <v>250</v>
      </c>
      <c r="C27" s="45" t="e">
        <f t="shared" si="2"/>
        <v>#REF!</v>
      </c>
      <c r="D27" s="45" t="e">
        <f t="shared" si="3"/>
        <v>#REF!</v>
      </c>
      <c r="E27" s="45" t="e">
        <f t="shared" si="0"/>
        <v>#REF!</v>
      </c>
      <c r="F27" s="45" t="e">
        <f t="shared" si="4"/>
        <v>#REF!</v>
      </c>
    </row>
    <row r="28" spans="1:6" x14ac:dyDescent="0.2">
      <c r="A28">
        <f t="shared" si="1"/>
        <v>15</v>
      </c>
      <c r="B28" s="15">
        <v>250</v>
      </c>
      <c r="C28" s="45" t="e">
        <f t="shared" si="2"/>
        <v>#REF!</v>
      </c>
      <c r="D28" s="45" t="e">
        <f t="shared" si="3"/>
        <v>#REF!</v>
      </c>
      <c r="E28" s="45" t="e">
        <f t="shared" si="0"/>
        <v>#REF!</v>
      </c>
      <c r="F28" s="45" t="e">
        <f t="shared" si="4"/>
        <v>#REF!</v>
      </c>
    </row>
    <row r="29" spans="1:6" x14ac:dyDescent="0.2">
      <c r="A29">
        <f t="shared" si="1"/>
        <v>16</v>
      </c>
      <c r="B29" s="15">
        <v>250</v>
      </c>
      <c r="C29" s="45" t="e">
        <f t="shared" si="2"/>
        <v>#REF!</v>
      </c>
      <c r="D29" s="45" t="e">
        <f t="shared" si="3"/>
        <v>#REF!</v>
      </c>
      <c r="E29" s="45" t="e">
        <f t="shared" si="0"/>
        <v>#REF!</v>
      </c>
      <c r="F29" s="45" t="e">
        <f t="shared" si="4"/>
        <v>#REF!</v>
      </c>
    </row>
    <row r="30" spans="1:6" x14ac:dyDescent="0.2">
      <c r="A30">
        <f t="shared" si="1"/>
        <v>17</v>
      </c>
      <c r="B30" s="15">
        <v>250</v>
      </c>
      <c r="C30" s="45" t="e">
        <f t="shared" si="2"/>
        <v>#REF!</v>
      </c>
      <c r="D30" s="45" t="e">
        <f t="shared" si="3"/>
        <v>#REF!</v>
      </c>
      <c r="E30" s="45" t="e">
        <f t="shared" si="0"/>
        <v>#REF!</v>
      </c>
      <c r="F30" s="45" t="e">
        <f t="shared" si="4"/>
        <v>#REF!</v>
      </c>
    </row>
    <row r="31" spans="1:6" x14ac:dyDescent="0.2">
      <c r="A31">
        <f t="shared" si="1"/>
        <v>18</v>
      </c>
      <c r="B31" s="15">
        <v>250</v>
      </c>
      <c r="C31" s="45" t="e">
        <f t="shared" si="2"/>
        <v>#REF!</v>
      </c>
      <c r="D31" s="45" t="e">
        <f t="shared" si="3"/>
        <v>#REF!</v>
      </c>
      <c r="E31" s="45" t="e">
        <f t="shared" si="0"/>
        <v>#REF!</v>
      </c>
      <c r="F31" s="45" t="e">
        <f t="shared" si="4"/>
        <v>#REF!</v>
      </c>
    </row>
    <row r="32" spans="1:6" x14ac:dyDescent="0.2">
      <c r="A32">
        <f t="shared" si="1"/>
        <v>19</v>
      </c>
      <c r="B32" s="15">
        <v>250</v>
      </c>
      <c r="C32" s="45" t="e">
        <f t="shared" si="2"/>
        <v>#REF!</v>
      </c>
      <c r="D32" s="45" t="e">
        <f t="shared" si="3"/>
        <v>#REF!</v>
      </c>
      <c r="E32" s="45" t="e">
        <f t="shared" si="0"/>
        <v>#REF!</v>
      </c>
      <c r="F32" s="45" t="e">
        <f t="shared" si="4"/>
        <v>#REF!</v>
      </c>
    </row>
    <row r="33" spans="1:6" x14ac:dyDescent="0.2">
      <c r="A33">
        <f t="shared" si="1"/>
        <v>20</v>
      </c>
      <c r="B33" s="15">
        <v>250</v>
      </c>
      <c r="C33" s="45" t="e">
        <f t="shared" si="2"/>
        <v>#REF!</v>
      </c>
      <c r="D33" s="45" t="e">
        <f t="shared" si="3"/>
        <v>#REF!</v>
      </c>
      <c r="E33" s="45" t="e">
        <f t="shared" si="0"/>
        <v>#REF!</v>
      </c>
      <c r="F33" s="45" t="e">
        <f t="shared" si="4"/>
        <v>#REF!</v>
      </c>
    </row>
    <row r="34" spans="1:6" x14ac:dyDescent="0.2">
      <c r="A34">
        <f t="shared" si="1"/>
        <v>21</v>
      </c>
      <c r="B34" s="15">
        <v>250</v>
      </c>
      <c r="C34" s="45" t="e">
        <f t="shared" si="2"/>
        <v>#REF!</v>
      </c>
      <c r="D34" s="45" t="e">
        <f t="shared" si="3"/>
        <v>#REF!</v>
      </c>
      <c r="E34" s="45" t="e">
        <f t="shared" si="0"/>
        <v>#REF!</v>
      </c>
      <c r="F34" s="45" t="e">
        <f t="shared" si="4"/>
        <v>#REF!</v>
      </c>
    </row>
    <row r="35" spans="1:6" x14ac:dyDescent="0.2">
      <c r="A35">
        <f t="shared" si="1"/>
        <v>22</v>
      </c>
      <c r="B35" s="15">
        <v>250</v>
      </c>
      <c r="C35" s="45" t="e">
        <f t="shared" si="2"/>
        <v>#REF!</v>
      </c>
      <c r="D35" s="45" t="e">
        <f t="shared" si="3"/>
        <v>#REF!</v>
      </c>
      <c r="E35" s="45" t="e">
        <f t="shared" si="0"/>
        <v>#REF!</v>
      </c>
      <c r="F35" s="45" t="e">
        <f t="shared" si="4"/>
        <v>#REF!</v>
      </c>
    </row>
    <row r="36" spans="1:6" x14ac:dyDescent="0.2">
      <c r="A36">
        <f t="shared" si="1"/>
        <v>23</v>
      </c>
      <c r="B36" s="15">
        <v>250</v>
      </c>
      <c r="C36" s="45" t="e">
        <f t="shared" si="2"/>
        <v>#REF!</v>
      </c>
      <c r="D36" s="45" t="e">
        <f t="shared" si="3"/>
        <v>#REF!</v>
      </c>
      <c r="E36" s="45" t="e">
        <f t="shared" si="0"/>
        <v>#REF!</v>
      </c>
      <c r="F36" s="45" t="e">
        <f t="shared" si="4"/>
        <v>#REF!</v>
      </c>
    </row>
    <row r="37" spans="1:6" x14ac:dyDescent="0.2">
      <c r="A37">
        <f t="shared" si="1"/>
        <v>24</v>
      </c>
      <c r="B37" s="15">
        <v>250</v>
      </c>
      <c r="C37" s="45" t="e">
        <f t="shared" si="2"/>
        <v>#REF!</v>
      </c>
      <c r="D37" s="45" t="e">
        <f t="shared" si="3"/>
        <v>#REF!</v>
      </c>
      <c r="E37" s="45" t="e">
        <f t="shared" si="0"/>
        <v>#REF!</v>
      </c>
      <c r="F37" s="45" t="e">
        <f t="shared" si="4"/>
        <v>#REF!</v>
      </c>
    </row>
    <row r="38" spans="1:6" x14ac:dyDescent="0.2">
      <c r="A38">
        <f t="shared" si="1"/>
        <v>25</v>
      </c>
      <c r="B38" s="15">
        <v>250</v>
      </c>
      <c r="C38" s="45" t="e">
        <f t="shared" si="2"/>
        <v>#REF!</v>
      </c>
      <c r="D38" s="45" t="e">
        <f t="shared" si="3"/>
        <v>#REF!</v>
      </c>
      <c r="E38" s="45" t="e">
        <f t="shared" si="0"/>
        <v>#REF!</v>
      </c>
      <c r="F38" s="45" t="e">
        <f t="shared" si="4"/>
        <v>#REF!</v>
      </c>
    </row>
    <row r="39" spans="1:6" x14ac:dyDescent="0.2">
      <c r="A39">
        <f t="shared" si="1"/>
        <v>26</v>
      </c>
      <c r="B39" s="15">
        <v>250</v>
      </c>
      <c r="C39" s="45" t="e">
        <f t="shared" si="2"/>
        <v>#REF!</v>
      </c>
      <c r="D39" s="45" t="e">
        <f t="shared" si="3"/>
        <v>#REF!</v>
      </c>
      <c r="E39" s="45" t="e">
        <f t="shared" si="0"/>
        <v>#REF!</v>
      </c>
      <c r="F39" s="45" t="e">
        <f t="shared" si="4"/>
        <v>#REF!</v>
      </c>
    </row>
    <row r="40" spans="1:6" x14ac:dyDescent="0.2">
      <c r="A40">
        <f t="shared" si="1"/>
        <v>27</v>
      </c>
      <c r="B40" s="15">
        <v>250</v>
      </c>
      <c r="C40" s="45" t="e">
        <f t="shared" si="2"/>
        <v>#REF!</v>
      </c>
      <c r="D40" s="45" t="e">
        <f t="shared" si="3"/>
        <v>#REF!</v>
      </c>
      <c r="E40" s="45" t="e">
        <f t="shared" si="0"/>
        <v>#REF!</v>
      </c>
      <c r="F40" s="45" t="e">
        <f t="shared" si="4"/>
        <v>#REF!</v>
      </c>
    </row>
    <row r="41" spans="1:6" x14ac:dyDescent="0.2">
      <c r="A41">
        <f t="shared" si="1"/>
        <v>28</v>
      </c>
      <c r="B41" s="15">
        <v>250</v>
      </c>
      <c r="C41" s="45" t="e">
        <f t="shared" si="2"/>
        <v>#REF!</v>
      </c>
      <c r="D41" s="45" t="e">
        <f t="shared" si="3"/>
        <v>#REF!</v>
      </c>
      <c r="E41" s="45" t="e">
        <f t="shared" si="0"/>
        <v>#REF!</v>
      </c>
      <c r="F41" s="45" t="e">
        <f t="shared" si="4"/>
        <v>#REF!</v>
      </c>
    </row>
    <row r="42" spans="1:6" x14ac:dyDescent="0.2">
      <c r="A42">
        <f t="shared" si="1"/>
        <v>29</v>
      </c>
      <c r="B42" s="15">
        <v>250</v>
      </c>
      <c r="C42" s="45" t="e">
        <f t="shared" si="2"/>
        <v>#REF!</v>
      </c>
      <c r="D42" s="45" t="e">
        <f t="shared" si="3"/>
        <v>#REF!</v>
      </c>
      <c r="E42" s="45" t="e">
        <f t="shared" si="0"/>
        <v>#REF!</v>
      </c>
      <c r="F42" s="45" t="e">
        <f t="shared" si="4"/>
        <v>#REF!</v>
      </c>
    </row>
    <row r="43" spans="1:6" x14ac:dyDescent="0.2">
      <c r="A43">
        <f t="shared" si="1"/>
        <v>30</v>
      </c>
      <c r="B43" s="15">
        <v>250</v>
      </c>
      <c r="C43" s="45" t="e">
        <f t="shared" si="2"/>
        <v>#REF!</v>
      </c>
      <c r="D43" s="45" t="e">
        <f t="shared" si="3"/>
        <v>#REF!</v>
      </c>
      <c r="E43" s="45" t="e">
        <f t="shared" si="0"/>
        <v>#REF!</v>
      </c>
      <c r="F43" s="45" t="e">
        <f t="shared" si="4"/>
        <v>#REF!</v>
      </c>
    </row>
  </sheetData>
  <mergeCells count="1">
    <mergeCell ref="G7:G8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 tint="0.79998168889431442"/>
  </sheetPr>
  <dimension ref="A1"/>
  <sheetViews>
    <sheetView zoomScale="70" zoomScaleNormal="70" workbookViewId="0">
      <pane xSplit="1" topLeftCell="B1" activePane="topRight" state="frozen"/>
      <selection activeCell="I1" sqref="I1:K1"/>
      <selection pane="topRight" activeCell="B1" sqref="B1"/>
    </sheetView>
  </sheetViews>
  <sheetFormatPr defaultRowHeight="14.25" x14ac:dyDescent="0.2"/>
  <cols>
    <col min="1" max="16384" width="9" style="21"/>
  </cols>
  <sheetData/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5CFB1-4FF6-49A1-B1F3-0825BD72B85A}">
  <sheetPr codeName="Sheet11">
    <tabColor theme="7" tint="0.79998168889431442"/>
  </sheetPr>
  <dimension ref="A1:D1"/>
  <sheetViews>
    <sheetView zoomScale="85" zoomScaleNormal="85" workbookViewId="0"/>
  </sheetViews>
  <sheetFormatPr defaultRowHeight="14.25" x14ac:dyDescent="0.2"/>
  <cols>
    <col min="1" max="1" width="14.75" bestFit="1" customWidth="1"/>
    <col min="2" max="2" width="36.625" bestFit="1" customWidth="1"/>
    <col min="3" max="3" width="30.375" bestFit="1" customWidth="1"/>
    <col min="4" max="4" width="35.25" bestFit="1" customWidth="1"/>
  </cols>
  <sheetData>
    <row r="1" spans="1:4" ht="15" x14ac:dyDescent="0.25">
      <c r="A1" s="24" t="s">
        <v>181</v>
      </c>
      <c r="B1" s="24" t="s">
        <v>182</v>
      </c>
      <c r="C1" s="24" t="s">
        <v>183</v>
      </c>
      <c r="D1" s="24" t="s">
        <v>184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79998168889431442"/>
  </sheetPr>
  <dimension ref="A1"/>
  <sheetViews>
    <sheetView zoomScale="85" zoomScaleNormal="85" workbookViewId="0"/>
  </sheetViews>
  <sheetFormatPr defaultRowHeight="14.25" x14ac:dyDescent="0.2"/>
  <sheetData/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02093-F84C-43D4-A5E4-8A16D6D8A9E4}">
  <sheetPr codeName="Sheet8">
    <tabColor theme="7" tint="0.79998168889431442"/>
  </sheetPr>
  <dimension ref="A1:K2"/>
  <sheetViews>
    <sheetView zoomScale="85" zoomScaleNormal="85" workbookViewId="0">
      <selection sqref="A1:A2"/>
    </sheetView>
  </sheetViews>
  <sheetFormatPr defaultRowHeight="14.25" x14ac:dyDescent="0.2"/>
  <cols>
    <col min="1" max="1" width="16.75" bestFit="1" customWidth="1"/>
    <col min="2" max="2" width="7" bestFit="1" customWidth="1"/>
    <col min="3" max="3" width="13.25" bestFit="1" customWidth="1"/>
    <col min="4" max="4" width="13.5" bestFit="1" customWidth="1"/>
    <col min="5" max="5" width="13.75" bestFit="1" customWidth="1"/>
    <col min="6" max="6" width="8.375" bestFit="1" customWidth="1"/>
    <col min="7" max="7" width="11.375" bestFit="1" customWidth="1"/>
    <col min="8" max="8" width="15" bestFit="1" customWidth="1"/>
    <col min="9" max="9" width="6.625" bestFit="1" customWidth="1"/>
    <col min="10" max="10" width="7.75" bestFit="1" customWidth="1"/>
    <col min="11" max="11" width="7.625" bestFit="1" customWidth="1"/>
  </cols>
  <sheetData>
    <row r="1" spans="1:11" ht="15" x14ac:dyDescent="0.25">
      <c r="A1" s="56" t="s">
        <v>12</v>
      </c>
      <c r="B1" s="24" t="s">
        <v>160</v>
      </c>
      <c r="C1" s="24" t="s">
        <v>46</v>
      </c>
      <c r="D1" s="24" t="s">
        <v>161</v>
      </c>
      <c r="E1" s="24" t="s">
        <v>162</v>
      </c>
      <c r="F1" s="56" t="s">
        <v>171</v>
      </c>
      <c r="G1" s="56" t="s">
        <v>165</v>
      </c>
      <c r="H1" s="56" t="s">
        <v>166</v>
      </c>
      <c r="I1" s="56" t="s">
        <v>167</v>
      </c>
      <c r="J1" s="56" t="s">
        <v>168</v>
      </c>
      <c r="K1" s="56" t="s">
        <v>169</v>
      </c>
    </row>
    <row r="2" spans="1:11" ht="15" x14ac:dyDescent="0.25">
      <c r="A2" s="57"/>
      <c r="B2" s="24" t="s">
        <v>170</v>
      </c>
      <c r="C2" s="24" t="s">
        <v>163</v>
      </c>
      <c r="D2" s="24" t="s">
        <v>97</v>
      </c>
      <c r="E2" s="24" t="s">
        <v>164</v>
      </c>
      <c r="F2" s="57"/>
      <c r="G2" s="57"/>
      <c r="H2" s="57"/>
      <c r="I2" s="57"/>
      <c r="J2" s="57"/>
      <c r="K2" s="57"/>
    </row>
  </sheetData>
  <mergeCells count="7">
    <mergeCell ref="A1:A2"/>
    <mergeCell ref="K1:K2"/>
    <mergeCell ref="J1:J2"/>
    <mergeCell ref="I1:I2"/>
    <mergeCell ref="H1:H2"/>
    <mergeCell ref="G1:G2"/>
    <mergeCell ref="F1:F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DB1B-DD1D-4D22-B551-0F024122369C}">
  <sheetPr codeName="Sheet5">
    <tabColor theme="7" tint="0.79998168889431442"/>
  </sheetPr>
  <dimension ref="A1:N2"/>
  <sheetViews>
    <sheetView zoomScale="85" zoomScaleNormal="85" workbookViewId="0"/>
  </sheetViews>
  <sheetFormatPr defaultRowHeight="14.25" x14ac:dyDescent="0.2"/>
  <cols>
    <col min="1" max="1" width="16.125" bestFit="1" customWidth="1"/>
    <col min="2" max="2" width="18.875" bestFit="1" customWidth="1"/>
    <col min="3" max="3" width="9.875" bestFit="1" customWidth="1"/>
    <col min="4" max="4" width="18.625" bestFit="1" customWidth="1"/>
    <col min="5" max="5" width="13.625" bestFit="1" customWidth="1"/>
    <col min="6" max="6" width="16.5" bestFit="1" customWidth="1"/>
    <col min="7" max="7" width="6.625" bestFit="1" customWidth="1"/>
    <col min="8" max="8" width="9.125" bestFit="1" customWidth="1"/>
    <col min="9" max="9" width="14.625" bestFit="1" customWidth="1"/>
    <col min="10" max="10" width="11.625" bestFit="1" customWidth="1"/>
    <col min="11" max="11" width="6.625" bestFit="1" customWidth="1"/>
    <col min="12" max="12" width="16.625" bestFit="1" customWidth="1"/>
    <col min="13" max="13" width="14.625" bestFit="1" customWidth="1"/>
    <col min="14" max="14" width="11.625" bestFit="1" customWidth="1"/>
  </cols>
  <sheetData>
    <row r="1" spans="1:14" ht="15" x14ac:dyDescent="0.25">
      <c r="A1" s="24"/>
      <c r="B1" s="24"/>
      <c r="C1" s="24"/>
      <c r="D1" s="24"/>
      <c r="E1" s="24"/>
      <c r="F1" s="24"/>
      <c r="G1" s="58" t="s">
        <v>155</v>
      </c>
      <c r="H1" s="59"/>
      <c r="I1" s="59"/>
      <c r="J1" s="60"/>
      <c r="K1" s="58" t="s">
        <v>154</v>
      </c>
      <c r="L1" s="59"/>
      <c r="M1" s="59"/>
      <c r="N1" s="60"/>
    </row>
    <row r="2" spans="1:14" ht="15" x14ac:dyDescent="0.25">
      <c r="A2" s="24" t="s">
        <v>12</v>
      </c>
      <c r="B2" s="50" t="s">
        <v>49</v>
      </c>
      <c r="C2" s="24" t="s">
        <v>148</v>
      </c>
      <c r="D2" s="24" t="s">
        <v>149</v>
      </c>
      <c r="E2" s="24" t="s">
        <v>32</v>
      </c>
      <c r="F2" s="24" t="s">
        <v>138</v>
      </c>
      <c r="G2" s="24" t="s">
        <v>150</v>
      </c>
      <c r="H2" s="24" t="s">
        <v>97</v>
      </c>
      <c r="I2" s="24" t="s">
        <v>151</v>
      </c>
      <c r="J2" s="24" t="s">
        <v>152</v>
      </c>
      <c r="K2" s="24" t="s">
        <v>150</v>
      </c>
      <c r="L2" s="24" t="s">
        <v>157</v>
      </c>
      <c r="M2" s="24" t="s">
        <v>151</v>
      </c>
      <c r="N2" s="24" t="s">
        <v>152</v>
      </c>
    </row>
  </sheetData>
  <autoFilter ref="A2:N102" xr:uid="{F4BA67DD-1459-4736-91B8-92F25F14D584}"/>
  <mergeCells count="2">
    <mergeCell ref="G1:J1"/>
    <mergeCell ref="K1:N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7" tint="0.79998168889431442"/>
  </sheetPr>
  <dimension ref="A1:U2"/>
  <sheetViews>
    <sheetView zoomScale="85" zoomScaleNormal="85" workbookViewId="0"/>
  </sheetViews>
  <sheetFormatPr defaultRowHeight="14.25" x14ac:dyDescent="0.2"/>
  <cols>
    <col min="1" max="1" width="16.75" bestFit="1" customWidth="1"/>
    <col min="2" max="2" width="14.5" style="34" bestFit="1" customWidth="1"/>
    <col min="3" max="3" width="10.125" style="37" bestFit="1" customWidth="1"/>
    <col min="4" max="4" width="21" bestFit="1" customWidth="1"/>
    <col min="5" max="5" width="17.875" bestFit="1" customWidth="1"/>
    <col min="6" max="6" width="10.125" bestFit="1" customWidth="1"/>
    <col min="7" max="7" width="7.875" bestFit="1" customWidth="1"/>
    <col min="8" max="8" width="10.125" bestFit="1" customWidth="1"/>
    <col min="9" max="9" width="13.5" bestFit="1" customWidth="1"/>
    <col min="10" max="10" width="15.625" bestFit="1" customWidth="1"/>
    <col min="11" max="11" width="10.125" bestFit="1" customWidth="1"/>
    <col min="12" max="12" width="18.375" bestFit="1" customWidth="1"/>
    <col min="13" max="13" width="20.75" bestFit="1" customWidth="1"/>
    <col min="14" max="14" width="17.875" bestFit="1" customWidth="1"/>
    <col min="15" max="15" width="15.5" customWidth="1"/>
    <col min="16" max="16" width="11.75" customWidth="1"/>
    <col min="17" max="17" width="13.625" customWidth="1"/>
    <col min="18" max="18" width="10.75" customWidth="1"/>
    <col min="19" max="19" width="22.25" customWidth="1"/>
    <col min="20" max="20" width="14.375" bestFit="1" customWidth="1"/>
    <col min="21" max="21" width="16.375" bestFit="1" customWidth="1"/>
  </cols>
  <sheetData>
    <row r="1" spans="1:21" ht="15" x14ac:dyDescent="0.25">
      <c r="A1" s="24"/>
      <c r="B1" s="35"/>
      <c r="C1" s="36"/>
      <c r="D1" s="61" t="s">
        <v>45</v>
      </c>
      <c r="E1" s="61"/>
      <c r="F1" s="22" t="s">
        <v>51</v>
      </c>
      <c r="G1" s="23"/>
      <c r="H1" s="22" t="s">
        <v>52</v>
      </c>
      <c r="I1" s="23"/>
      <c r="J1" s="1"/>
      <c r="K1" s="1"/>
      <c r="L1" s="61" t="s">
        <v>46</v>
      </c>
      <c r="M1" s="61"/>
      <c r="N1" s="61"/>
      <c r="O1" s="62" t="s">
        <v>121</v>
      </c>
      <c r="P1" s="63"/>
      <c r="Q1" s="63"/>
      <c r="R1" s="63"/>
      <c r="S1" s="63"/>
    </row>
    <row r="2" spans="1:21" ht="15" x14ac:dyDescent="0.25">
      <c r="A2" s="24" t="s">
        <v>12</v>
      </c>
      <c r="B2" s="35" t="s">
        <v>47</v>
      </c>
      <c r="C2" s="36" t="s">
        <v>48</v>
      </c>
      <c r="D2" s="50" t="s">
        <v>49</v>
      </c>
      <c r="E2" s="50" t="s">
        <v>50</v>
      </c>
      <c r="F2" s="50" t="s">
        <v>147</v>
      </c>
      <c r="G2" s="50" t="s">
        <v>64</v>
      </c>
      <c r="H2" s="50" t="s">
        <v>147</v>
      </c>
      <c r="I2" s="50" t="s">
        <v>64</v>
      </c>
      <c r="J2" s="50" t="s">
        <v>32</v>
      </c>
      <c r="K2" s="29" t="s">
        <v>53</v>
      </c>
      <c r="L2" s="29" t="s">
        <v>54</v>
      </c>
      <c r="M2" s="29" t="s">
        <v>55</v>
      </c>
      <c r="N2" s="29" t="s">
        <v>56</v>
      </c>
      <c r="O2" s="29" t="s">
        <v>118</v>
      </c>
      <c r="P2" s="29" t="s">
        <v>119</v>
      </c>
      <c r="Q2" s="29" t="s">
        <v>120</v>
      </c>
      <c r="R2" s="29" t="s">
        <v>123</v>
      </c>
      <c r="S2" s="29" t="s">
        <v>153</v>
      </c>
      <c r="T2" s="33" t="s">
        <v>139</v>
      </c>
      <c r="U2" s="38" t="s">
        <v>175</v>
      </c>
    </row>
  </sheetData>
  <mergeCells count="3">
    <mergeCell ref="D1:E1"/>
    <mergeCell ref="L1:N1"/>
    <mergeCell ref="O1:S1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 tint="0.79998168889431442"/>
  </sheetPr>
  <dimension ref="A1"/>
  <sheetViews>
    <sheetView zoomScale="85" zoomScaleNormal="85" workbookViewId="0"/>
  </sheetViews>
  <sheetFormatPr defaultRowHeight="14.25" x14ac:dyDescent="0.2"/>
  <sheetData/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4200B-3E31-45CC-AC8F-1AE53273AE24}">
  <sheetPr codeName="Sheet13">
    <tabColor theme="7" tint="0.79998168889431442"/>
  </sheetPr>
  <dimension ref="A1:J1"/>
  <sheetViews>
    <sheetView workbookViewId="0"/>
  </sheetViews>
  <sheetFormatPr defaultRowHeight="14.25" x14ac:dyDescent="0.2"/>
  <cols>
    <col min="1" max="1" width="18.875" bestFit="1" customWidth="1"/>
    <col min="2" max="2" width="16.375" bestFit="1" customWidth="1"/>
    <col min="3" max="3" width="20.375" style="34" bestFit="1" customWidth="1"/>
    <col min="4" max="4" width="13.375" style="34" bestFit="1" customWidth="1"/>
    <col min="5" max="5" width="18.375" style="34" bestFit="1" customWidth="1"/>
    <col min="6" max="6" width="11.125" style="34" bestFit="1" customWidth="1"/>
    <col min="7" max="7" width="16" style="34" bestFit="1" customWidth="1"/>
    <col min="8" max="8" width="19.5" style="34" bestFit="1" customWidth="1"/>
    <col min="9" max="9" width="18.875" style="34" bestFit="1" customWidth="1"/>
    <col min="10" max="10" width="9.875" style="34" bestFit="1" customWidth="1"/>
  </cols>
  <sheetData>
    <row r="1" spans="1:10" ht="15" x14ac:dyDescent="0.25">
      <c r="A1" s="33" t="s">
        <v>139</v>
      </c>
      <c r="B1" s="33" t="s">
        <v>173</v>
      </c>
      <c r="C1" s="33" t="s">
        <v>185</v>
      </c>
      <c r="D1" s="33" t="s">
        <v>176</v>
      </c>
      <c r="E1" s="33" t="s">
        <v>177</v>
      </c>
      <c r="F1" s="33" t="s">
        <v>178</v>
      </c>
      <c r="G1" s="33" t="s">
        <v>179</v>
      </c>
      <c r="H1" s="33" t="s">
        <v>174</v>
      </c>
      <c r="I1" s="33" t="s">
        <v>175</v>
      </c>
      <c r="J1" s="33" t="s">
        <v>180</v>
      </c>
    </row>
  </sheetData>
  <autoFilter ref="A1:J41" xr:uid="{1A7DF197-EE95-4939-BD63-4E9827416A9B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8E0B-C3E6-4390-9956-25632DBC158C}">
  <sheetPr codeName="Sheet31">
    <tabColor theme="7" tint="0.79998168889431442"/>
  </sheetPr>
  <dimension ref="A1"/>
  <sheetViews>
    <sheetView zoomScale="85" zoomScaleNormal="85" workbookViewId="0"/>
  </sheetViews>
  <sheetFormatPr defaultRowHeight="14.25" x14ac:dyDescent="0.2"/>
  <sheetData/>
  <sortState xmlns:xlrd2="http://schemas.microsoft.com/office/spreadsheetml/2017/richdata2" ref="A2:C47">
    <sortCondition ref="B3:B1001"/>
    <sortCondition ref="A3:A1001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EC0D-36C9-4588-9F38-0D09FC649B46}">
  <sheetPr codeName="Sheet30">
    <tabColor theme="9" tint="0.79998168889431442"/>
  </sheetPr>
  <dimension ref="A1:S48"/>
  <sheetViews>
    <sheetView zoomScale="85" zoomScaleNormal="85" workbookViewId="0">
      <selection sqref="A1:A2"/>
    </sheetView>
  </sheetViews>
  <sheetFormatPr defaultRowHeight="14.25" x14ac:dyDescent="0.2"/>
  <cols>
    <col min="1" max="1" width="16.875" bestFit="1" customWidth="1"/>
    <col min="2" max="2" width="10.625" bestFit="1" customWidth="1"/>
    <col min="3" max="11" width="2" bestFit="1" customWidth="1"/>
    <col min="12" max="14" width="3.125" bestFit="1" customWidth="1"/>
    <col min="15" max="15" width="20.5" bestFit="1" customWidth="1"/>
    <col min="17" max="17" width="2.75" customWidth="1"/>
    <col min="18" max="18" width="29.375" bestFit="1" customWidth="1"/>
    <col min="19" max="19" width="45.875" bestFit="1" customWidth="1"/>
  </cols>
  <sheetData>
    <row r="1" spans="1:19" ht="15" x14ac:dyDescent="0.25">
      <c r="A1" s="64" t="s">
        <v>12</v>
      </c>
      <c r="B1" s="64" t="s">
        <v>58</v>
      </c>
      <c r="C1" s="64" t="s">
        <v>124</v>
      </c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5" t="s">
        <v>133</v>
      </c>
      <c r="R1" s="43"/>
    </row>
    <row r="2" spans="1:19" ht="15" x14ac:dyDescent="0.25">
      <c r="A2" s="64"/>
      <c r="B2" s="64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66"/>
    </row>
    <row r="3" spans="1:19" ht="15" x14ac:dyDescent="0.25">
      <c r="A3" s="42" t="s">
        <v>15</v>
      </c>
      <c r="B3" s="42" t="s">
        <v>40</v>
      </c>
      <c r="C3" s="18"/>
      <c r="D3" s="51"/>
      <c r="E3" s="51"/>
      <c r="F3" s="51">
        <v>1</v>
      </c>
      <c r="G3" s="51">
        <v>1</v>
      </c>
      <c r="H3" s="51"/>
      <c r="I3" s="51"/>
      <c r="J3" s="51"/>
      <c r="K3" s="51"/>
      <c r="L3" s="51"/>
      <c r="M3" s="51"/>
      <c r="N3" s="51"/>
      <c r="O3" s="52">
        <f t="shared" ref="O3:O48" si="0">SUM(C3:N3)</f>
        <v>2</v>
      </c>
      <c r="P3" s="21"/>
      <c r="Q3" s="12">
        <v>1</v>
      </c>
      <c r="R3" s="21" t="s">
        <v>215</v>
      </c>
      <c r="S3" s="21" t="s">
        <v>214</v>
      </c>
    </row>
    <row r="4" spans="1:19" ht="15" x14ac:dyDescent="0.25">
      <c r="A4" s="6" t="s">
        <v>16</v>
      </c>
      <c r="B4" s="6" t="s">
        <v>41</v>
      </c>
      <c r="C4" s="6"/>
      <c r="D4" s="12">
        <v>1</v>
      </c>
      <c r="E4" s="12">
        <v>1</v>
      </c>
      <c r="F4" s="12">
        <v>1</v>
      </c>
      <c r="G4" s="12">
        <v>1</v>
      </c>
      <c r="H4" s="12">
        <v>1</v>
      </c>
      <c r="I4" s="12">
        <v>1</v>
      </c>
      <c r="J4" s="12">
        <v>1</v>
      </c>
      <c r="K4" s="12"/>
      <c r="L4" s="12"/>
      <c r="M4" s="12"/>
      <c r="N4" s="12"/>
      <c r="O4" s="19">
        <f t="shared" si="0"/>
        <v>7</v>
      </c>
      <c r="P4" s="21"/>
      <c r="Q4" s="21"/>
      <c r="R4" s="21"/>
      <c r="S4" s="21"/>
    </row>
    <row r="5" spans="1:19" ht="15" x14ac:dyDescent="0.25">
      <c r="A5" s="6" t="s">
        <v>113</v>
      </c>
      <c r="B5" s="6" t="s">
        <v>37</v>
      </c>
      <c r="C5" s="6"/>
      <c r="D5" s="12">
        <v>1</v>
      </c>
      <c r="E5" s="12">
        <v>1</v>
      </c>
      <c r="F5" s="12">
        <v>1</v>
      </c>
      <c r="G5" s="12">
        <v>1</v>
      </c>
      <c r="H5" s="12">
        <v>1</v>
      </c>
      <c r="I5" s="12">
        <v>1</v>
      </c>
      <c r="J5" s="12">
        <v>1</v>
      </c>
      <c r="K5" s="12">
        <v>1</v>
      </c>
      <c r="L5" s="12"/>
      <c r="M5" s="12"/>
      <c r="N5" s="12"/>
      <c r="O5" s="19">
        <f t="shared" si="0"/>
        <v>8</v>
      </c>
      <c r="P5" s="21"/>
      <c r="Q5" s="21" t="s">
        <v>216</v>
      </c>
      <c r="R5" s="21"/>
      <c r="S5" s="21"/>
    </row>
    <row r="6" spans="1:19" ht="15" x14ac:dyDescent="0.25">
      <c r="A6" s="6" t="s">
        <v>115</v>
      </c>
      <c r="B6" s="6" t="s">
        <v>37</v>
      </c>
      <c r="C6" s="6"/>
      <c r="D6" s="12">
        <v>1</v>
      </c>
      <c r="E6" s="12">
        <v>1</v>
      </c>
      <c r="F6" s="12">
        <v>1</v>
      </c>
      <c r="G6" s="12">
        <v>1</v>
      </c>
      <c r="H6" s="12">
        <v>1</v>
      </c>
      <c r="I6" s="12">
        <v>1</v>
      </c>
      <c r="J6" s="12">
        <v>1</v>
      </c>
      <c r="K6" s="12">
        <v>1</v>
      </c>
      <c r="L6" s="12"/>
      <c r="M6" s="12"/>
      <c r="N6" s="12"/>
      <c r="O6" s="19">
        <f t="shared" si="0"/>
        <v>8</v>
      </c>
      <c r="P6" s="21"/>
      <c r="Q6" s="21" t="s">
        <v>217</v>
      </c>
      <c r="R6" s="21"/>
      <c r="S6" s="21"/>
    </row>
    <row r="7" spans="1:19" ht="15" x14ac:dyDescent="0.25">
      <c r="A7" s="6" t="s">
        <v>72</v>
      </c>
      <c r="B7" s="6" t="s">
        <v>35</v>
      </c>
      <c r="C7" s="6"/>
      <c r="D7" s="12"/>
      <c r="E7" s="12">
        <v>1</v>
      </c>
      <c r="F7" s="12">
        <v>1</v>
      </c>
      <c r="G7" s="12">
        <v>1</v>
      </c>
      <c r="H7" s="12">
        <v>1</v>
      </c>
      <c r="I7" s="12">
        <v>1</v>
      </c>
      <c r="J7" s="12">
        <v>1</v>
      </c>
      <c r="K7" s="12"/>
      <c r="L7" s="12"/>
      <c r="M7" s="12"/>
      <c r="N7" s="12"/>
      <c r="O7" s="19">
        <f t="shared" si="0"/>
        <v>6</v>
      </c>
      <c r="P7" s="21"/>
      <c r="Q7" s="21"/>
      <c r="R7" s="21"/>
      <c r="S7" s="21"/>
    </row>
    <row r="8" spans="1:19" ht="15" x14ac:dyDescent="0.25">
      <c r="A8" s="4" t="s">
        <v>18</v>
      </c>
      <c r="B8" s="4" t="s">
        <v>35</v>
      </c>
      <c r="C8" s="6"/>
      <c r="D8" s="12"/>
      <c r="E8" s="12">
        <v>1</v>
      </c>
      <c r="F8" s="12">
        <v>1</v>
      </c>
      <c r="G8" s="12">
        <v>1</v>
      </c>
      <c r="H8" s="12">
        <v>1</v>
      </c>
      <c r="I8" s="12">
        <v>1</v>
      </c>
      <c r="J8" s="12">
        <v>1</v>
      </c>
      <c r="K8" s="12"/>
      <c r="L8" s="12"/>
      <c r="M8" s="12"/>
      <c r="N8" s="12"/>
      <c r="O8" s="19">
        <f t="shared" si="0"/>
        <v>6</v>
      </c>
      <c r="P8" s="21"/>
      <c r="Q8" s="21"/>
      <c r="R8" s="21"/>
      <c r="S8" s="21"/>
    </row>
    <row r="9" spans="1:19" ht="15" x14ac:dyDescent="0.25">
      <c r="A9" s="4" t="s">
        <v>99</v>
      </c>
      <c r="B9" s="4" t="s">
        <v>35</v>
      </c>
      <c r="C9" s="6"/>
      <c r="D9" s="12"/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/>
      <c r="L9" s="12"/>
      <c r="M9" s="12"/>
      <c r="N9" s="12"/>
      <c r="O9" s="19">
        <f t="shared" si="0"/>
        <v>6</v>
      </c>
      <c r="P9" s="21"/>
      <c r="Q9" s="21"/>
      <c r="R9" s="21"/>
      <c r="S9" s="21"/>
    </row>
    <row r="10" spans="1:19" ht="15" x14ac:dyDescent="0.25">
      <c r="A10" s="4" t="s">
        <v>100</v>
      </c>
      <c r="B10" s="4" t="s">
        <v>35</v>
      </c>
      <c r="C10" s="6"/>
      <c r="D10" s="12"/>
      <c r="E10" s="12">
        <v>1</v>
      </c>
      <c r="F10" s="12">
        <v>1</v>
      </c>
      <c r="G10" s="12">
        <v>1</v>
      </c>
      <c r="H10" s="12">
        <v>1</v>
      </c>
      <c r="I10" s="12">
        <v>1</v>
      </c>
      <c r="J10" s="12">
        <v>1</v>
      </c>
      <c r="K10" s="12"/>
      <c r="L10" s="12"/>
      <c r="M10" s="12"/>
      <c r="N10" s="12"/>
      <c r="O10" s="19">
        <f t="shared" si="0"/>
        <v>6</v>
      </c>
      <c r="P10" s="21"/>
      <c r="Q10" s="21"/>
      <c r="R10" s="21"/>
      <c r="S10" s="21"/>
    </row>
    <row r="11" spans="1:19" ht="15" x14ac:dyDescent="0.25">
      <c r="A11" s="4" t="s">
        <v>101</v>
      </c>
      <c r="B11" s="4" t="s">
        <v>35</v>
      </c>
      <c r="C11" s="6"/>
      <c r="D11" s="12"/>
      <c r="E11" s="12">
        <v>1</v>
      </c>
      <c r="F11" s="12">
        <v>1</v>
      </c>
      <c r="G11" s="12">
        <v>1</v>
      </c>
      <c r="H11" s="12">
        <v>1</v>
      </c>
      <c r="I11" s="12">
        <v>1</v>
      </c>
      <c r="J11" s="12">
        <v>1</v>
      </c>
      <c r="K11" s="12"/>
      <c r="L11" s="12"/>
      <c r="M11" s="12"/>
      <c r="N11" s="12"/>
      <c r="O11" s="19">
        <f t="shared" si="0"/>
        <v>6</v>
      </c>
      <c r="P11" s="21"/>
      <c r="Q11" s="21"/>
      <c r="R11" s="21"/>
      <c r="S11" s="21"/>
    </row>
    <row r="12" spans="1:19" ht="15" x14ac:dyDescent="0.25">
      <c r="A12" s="6" t="s">
        <v>112</v>
      </c>
      <c r="B12" s="6" t="s">
        <v>44</v>
      </c>
      <c r="C12" s="6"/>
      <c r="D12" s="12"/>
      <c r="E12" s="12">
        <v>1</v>
      </c>
      <c r="F12" s="12">
        <v>1</v>
      </c>
      <c r="G12" s="12">
        <v>1</v>
      </c>
      <c r="H12" s="12">
        <v>1</v>
      </c>
      <c r="I12" s="12">
        <v>1</v>
      </c>
      <c r="J12" s="12">
        <v>1</v>
      </c>
      <c r="K12" s="12">
        <v>1</v>
      </c>
      <c r="L12" s="12"/>
      <c r="M12" s="12"/>
      <c r="N12" s="12"/>
      <c r="O12" s="19">
        <f t="shared" si="0"/>
        <v>7</v>
      </c>
      <c r="P12" s="21"/>
      <c r="Q12" s="21"/>
      <c r="R12" s="21"/>
      <c r="S12" s="21"/>
    </row>
    <row r="13" spans="1:19" ht="15" x14ac:dyDescent="0.25">
      <c r="A13" s="6" t="s">
        <v>114</v>
      </c>
      <c r="B13" s="6" t="s">
        <v>44</v>
      </c>
      <c r="C13" s="6"/>
      <c r="D13" s="12"/>
      <c r="E13" s="12">
        <v>1</v>
      </c>
      <c r="F13" s="12">
        <v>1</v>
      </c>
      <c r="G13" s="12">
        <v>1</v>
      </c>
      <c r="H13" s="12">
        <v>1</v>
      </c>
      <c r="I13" s="12">
        <v>1</v>
      </c>
      <c r="J13" s="12">
        <v>1</v>
      </c>
      <c r="K13" s="12">
        <v>1</v>
      </c>
      <c r="L13" s="12"/>
      <c r="M13" s="12"/>
      <c r="N13" s="12"/>
      <c r="O13" s="19">
        <f t="shared" si="0"/>
        <v>7</v>
      </c>
      <c r="P13" s="21"/>
      <c r="Q13" s="21"/>
      <c r="R13" s="21"/>
      <c r="S13" s="21"/>
    </row>
    <row r="14" spans="1:19" ht="15" x14ac:dyDescent="0.25">
      <c r="A14" s="4" t="s">
        <v>102</v>
      </c>
      <c r="B14" s="4" t="s">
        <v>35</v>
      </c>
      <c r="C14" s="6"/>
      <c r="D14" s="12"/>
      <c r="E14" s="12">
        <v>1</v>
      </c>
      <c r="F14" s="12">
        <v>1</v>
      </c>
      <c r="G14" s="12">
        <v>1</v>
      </c>
      <c r="H14" s="12">
        <v>1</v>
      </c>
      <c r="I14" s="12">
        <v>1</v>
      </c>
      <c r="J14" s="12">
        <v>1</v>
      </c>
      <c r="K14" s="12"/>
      <c r="L14" s="12"/>
      <c r="M14" s="12"/>
      <c r="N14" s="12"/>
      <c r="O14" s="19">
        <f t="shared" si="0"/>
        <v>6</v>
      </c>
      <c r="P14" s="21"/>
      <c r="Q14" s="21"/>
      <c r="R14" s="21"/>
      <c r="S14" s="21"/>
    </row>
    <row r="15" spans="1:19" ht="15" x14ac:dyDescent="0.25">
      <c r="A15" s="4" t="s">
        <v>103</v>
      </c>
      <c r="B15" s="4" t="s">
        <v>44</v>
      </c>
      <c r="C15" s="6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9">
        <f t="shared" si="0"/>
        <v>0</v>
      </c>
      <c r="P15" s="21"/>
      <c r="Q15" s="21"/>
      <c r="R15" s="21"/>
      <c r="S15" s="21"/>
    </row>
    <row r="16" spans="1:19" ht="15" x14ac:dyDescent="0.25">
      <c r="A16" s="4" t="s">
        <v>104</v>
      </c>
      <c r="B16" s="4" t="s">
        <v>44</v>
      </c>
      <c r="C16" s="6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9">
        <f t="shared" si="0"/>
        <v>0</v>
      </c>
      <c r="P16" s="21"/>
      <c r="Q16" s="21"/>
      <c r="R16" s="21"/>
      <c r="S16" s="21"/>
    </row>
    <row r="17" spans="1:19" ht="15" x14ac:dyDescent="0.25">
      <c r="A17" s="4" t="s">
        <v>105</v>
      </c>
      <c r="B17" s="4" t="s">
        <v>37</v>
      </c>
      <c r="C17" s="6"/>
      <c r="D17" s="12">
        <v>1</v>
      </c>
      <c r="E17" s="12">
        <v>1</v>
      </c>
      <c r="F17" s="12">
        <v>1</v>
      </c>
      <c r="G17" s="12">
        <v>1</v>
      </c>
      <c r="H17" s="12">
        <v>1</v>
      </c>
      <c r="I17" s="12">
        <v>1</v>
      </c>
      <c r="J17" s="12">
        <v>1</v>
      </c>
      <c r="K17" s="12">
        <v>1</v>
      </c>
      <c r="L17" s="12"/>
      <c r="M17" s="12"/>
      <c r="N17" s="12"/>
      <c r="O17" s="19">
        <f t="shared" si="0"/>
        <v>8</v>
      </c>
      <c r="P17" s="21"/>
      <c r="Q17" s="21"/>
      <c r="R17" s="21"/>
      <c r="S17" s="21"/>
    </row>
    <row r="18" spans="1:19" ht="15" x14ac:dyDescent="0.25">
      <c r="A18" s="4" t="s">
        <v>106</v>
      </c>
      <c r="B18" s="4" t="s">
        <v>35</v>
      </c>
      <c r="C18" s="6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9">
        <f t="shared" si="0"/>
        <v>0</v>
      </c>
      <c r="P18" s="21"/>
      <c r="Q18" s="21"/>
      <c r="R18" s="21"/>
      <c r="S18" s="21"/>
    </row>
    <row r="19" spans="1:19" ht="15" x14ac:dyDescent="0.25">
      <c r="A19" s="6" t="s">
        <v>19</v>
      </c>
      <c r="B19" s="6" t="s">
        <v>44</v>
      </c>
      <c r="C19" s="6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9">
        <f t="shared" si="0"/>
        <v>0</v>
      </c>
      <c r="P19" s="21"/>
      <c r="Q19" s="21"/>
      <c r="R19" s="21"/>
      <c r="S19" s="21"/>
    </row>
    <row r="20" spans="1:19" ht="15" x14ac:dyDescent="0.25">
      <c r="A20" s="6" t="s">
        <v>75</v>
      </c>
      <c r="B20" s="6" t="s">
        <v>76</v>
      </c>
      <c r="C20" s="6"/>
      <c r="D20" s="12"/>
      <c r="E20" s="12"/>
      <c r="F20" s="12">
        <v>1</v>
      </c>
      <c r="G20" s="12">
        <v>1</v>
      </c>
      <c r="H20" s="12">
        <v>1</v>
      </c>
      <c r="I20" s="12">
        <v>1</v>
      </c>
      <c r="J20" s="12"/>
      <c r="K20" s="12"/>
      <c r="L20" s="12"/>
      <c r="M20" s="12"/>
      <c r="N20" s="12"/>
      <c r="O20" s="19">
        <f t="shared" si="0"/>
        <v>4</v>
      </c>
      <c r="P20" s="21"/>
      <c r="Q20" s="21"/>
      <c r="R20" s="21"/>
      <c r="S20" s="21"/>
    </row>
    <row r="21" spans="1:19" ht="15" x14ac:dyDescent="0.25">
      <c r="A21" s="6" t="s">
        <v>20</v>
      </c>
      <c r="B21" s="6" t="s">
        <v>38</v>
      </c>
      <c r="C21" s="6"/>
      <c r="D21" s="12"/>
      <c r="E21" s="12"/>
      <c r="F21" s="12">
        <v>1</v>
      </c>
      <c r="G21" s="12">
        <v>1</v>
      </c>
      <c r="H21" s="12">
        <v>1</v>
      </c>
      <c r="I21" s="12">
        <v>1</v>
      </c>
      <c r="J21" s="12"/>
      <c r="K21" s="12"/>
      <c r="L21" s="12"/>
      <c r="M21" s="12"/>
      <c r="N21" s="12"/>
      <c r="O21" s="19">
        <f t="shared" si="0"/>
        <v>4</v>
      </c>
      <c r="P21" s="21"/>
      <c r="Q21" s="21"/>
      <c r="R21" s="21"/>
      <c r="S21" s="21"/>
    </row>
    <row r="22" spans="1:19" ht="15" x14ac:dyDescent="0.25">
      <c r="A22" s="6" t="s">
        <v>80</v>
      </c>
      <c r="B22" s="6" t="s">
        <v>44</v>
      </c>
      <c r="C22" s="6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9">
        <f t="shared" si="0"/>
        <v>0</v>
      </c>
      <c r="P22" s="21"/>
      <c r="Q22" s="21"/>
      <c r="R22" s="21"/>
      <c r="S22" s="21"/>
    </row>
    <row r="23" spans="1:19" ht="15" x14ac:dyDescent="0.25">
      <c r="A23" s="4" t="s">
        <v>107</v>
      </c>
      <c r="B23" s="4" t="s">
        <v>42</v>
      </c>
      <c r="C23" s="6"/>
      <c r="D23" s="12"/>
      <c r="E23" s="12"/>
      <c r="F23" s="12"/>
      <c r="G23" s="12">
        <v>1</v>
      </c>
      <c r="H23" s="12">
        <v>1</v>
      </c>
      <c r="I23" s="12">
        <v>1</v>
      </c>
      <c r="J23" s="12"/>
      <c r="K23" s="12"/>
      <c r="L23" s="12"/>
      <c r="M23" s="12"/>
      <c r="N23" s="12"/>
      <c r="O23" s="19">
        <f t="shared" si="0"/>
        <v>3</v>
      </c>
      <c r="P23" s="21"/>
      <c r="Q23" s="21"/>
      <c r="R23" s="21"/>
      <c r="S23" s="21"/>
    </row>
    <row r="24" spans="1:19" ht="15" x14ac:dyDescent="0.25">
      <c r="A24" s="4" t="s">
        <v>108</v>
      </c>
      <c r="B24" s="4" t="s">
        <v>44</v>
      </c>
      <c r="C24" s="6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9">
        <f t="shared" si="0"/>
        <v>0</v>
      </c>
      <c r="P24" s="21"/>
      <c r="Q24" s="21"/>
      <c r="R24" s="21"/>
      <c r="S24" s="21"/>
    </row>
    <row r="25" spans="1:19" ht="15" x14ac:dyDescent="0.25">
      <c r="A25" s="6" t="s">
        <v>22</v>
      </c>
      <c r="B25" s="6" t="s">
        <v>33</v>
      </c>
      <c r="C25" s="6"/>
      <c r="D25" s="12"/>
      <c r="E25" s="12"/>
      <c r="F25" s="12"/>
      <c r="G25" s="12"/>
      <c r="H25" s="12"/>
      <c r="I25" s="12"/>
      <c r="J25" s="12">
        <v>1</v>
      </c>
      <c r="K25" s="12">
        <v>1</v>
      </c>
      <c r="L25" s="12"/>
      <c r="M25" s="12"/>
      <c r="N25" s="12"/>
      <c r="O25" s="19">
        <f t="shared" si="0"/>
        <v>2</v>
      </c>
      <c r="P25" s="21"/>
      <c r="Q25" s="21"/>
      <c r="R25" s="21"/>
      <c r="S25" s="21"/>
    </row>
    <row r="26" spans="1:19" ht="15" x14ac:dyDescent="0.25">
      <c r="A26" s="6" t="s">
        <v>122</v>
      </c>
      <c r="B26" s="6" t="s">
        <v>38</v>
      </c>
      <c r="C26" s="6"/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2"/>
      <c r="K26" s="12"/>
      <c r="L26" s="12"/>
      <c r="M26" s="12"/>
      <c r="N26" s="12"/>
      <c r="O26" s="19">
        <f t="shared" si="0"/>
        <v>5</v>
      </c>
      <c r="P26" s="21"/>
      <c r="Q26" s="21"/>
      <c r="R26" s="21"/>
      <c r="S26" s="21"/>
    </row>
    <row r="27" spans="1:19" ht="15" x14ac:dyDescent="0.25">
      <c r="A27" s="4" t="s">
        <v>23</v>
      </c>
      <c r="B27" s="4" t="s">
        <v>35</v>
      </c>
      <c r="C27" s="6"/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2">
        <v>1</v>
      </c>
      <c r="K27" s="12"/>
      <c r="L27" s="12"/>
      <c r="M27" s="12"/>
      <c r="N27" s="12"/>
      <c r="O27" s="19">
        <f t="shared" si="0"/>
        <v>6</v>
      </c>
      <c r="P27" s="21"/>
      <c r="Q27" s="21"/>
      <c r="R27" s="21"/>
      <c r="S27" s="21"/>
    </row>
    <row r="28" spans="1:19" ht="15" x14ac:dyDescent="0.25">
      <c r="A28" s="4" t="s">
        <v>24</v>
      </c>
      <c r="B28" s="4" t="s">
        <v>35</v>
      </c>
      <c r="C28" s="6"/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2">
        <v>1</v>
      </c>
      <c r="K28" s="12">
        <v>1</v>
      </c>
      <c r="L28" s="12"/>
      <c r="M28" s="12"/>
      <c r="N28" s="12"/>
      <c r="O28" s="19">
        <f t="shared" si="0"/>
        <v>7</v>
      </c>
      <c r="P28" s="21"/>
      <c r="Q28" s="21"/>
      <c r="R28" s="21"/>
      <c r="S28" s="21"/>
    </row>
    <row r="29" spans="1:19" ht="15" x14ac:dyDescent="0.25">
      <c r="A29" s="4" t="s">
        <v>109</v>
      </c>
      <c r="B29" s="4" t="s">
        <v>33</v>
      </c>
      <c r="C29" s="6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9">
        <f t="shared" si="0"/>
        <v>0</v>
      </c>
      <c r="P29" s="21"/>
      <c r="Q29" s="21"/>
      <c r="R29" s="21"/>
      <c r="S29" s="21"/>
    </row>
    <row r="30" spans="1:19" ht="15" x14ac:dyDescent="0.25">
      <c r="A30" s="4" t="s">
        <v>25</v>
      </c>
      <c r="B30" s="4" t="s">
        <v>34</v>
      </c>
      <c r="C30" s="6"/>
      <c r="D30" s="12">
        <v>1</v>
      </c>
      <c r="E30" s="12">
        <v>1</v>
      </c>
      <c r="F30" s="12">
        <v>1</v>
      </c>
      <c r="G30" s="12">
        <v>1</v>
      </c>
      <c r="H30" s="12">
        <v>1</v>
      </c>
      <c r="I30" s="12">
        <v>1</v>
      </c>
      <c r="J30" s="12">
        <v>1</v>
      </c>
      <c r="K30" s="12">
        <v>1</v>
      </c>
      <c r="L30" s="12"/>
      <c r="M30" s="12"/>
      <c r="N30" s="12"/>
      <c r="O30" s="19">
        <f t="shared" si="0"/>
        <v>8</v>
      </c>
      <c r="P30" s="21"/>
      <c r="Q30" s="21"/>
      <c r="R30" s="21"/>
      <c r="S30" s="21"/>
    </row>
    <row r="31" spans="1:19" ht="15" x14ac:dyDescent="0.25">
      <c r="A31" s="13" t="s">
        <v>127</v>
      </c>
      <c r="B31" s="13" t="s">
        <v>35</v>
      </c>
      <c r="C31" s="6"/>
      <c r="D31" s="12"/>
      <c r="E31" s="12">
        <v>1</v>
      </c>
      <c r="F31" s="12">
        <v>1</v>
      </c>
      <c r="G31" s="12">
        <v>1</v>
      </c>
      <c r="H31" s="12">
        <v>1</v>
      </c>
      <c r="I31" s="12">
        <v>1</v>
      </c>
      <c r="J31" s="12">
        <v>1</v>
      </c>
      <c r="K31" s="12">
        <v>1</v>
      </c>
      <c r="L31" s="12"/>
      <c r="M31" s="12"/>
      <c r="N31" s="12"/>
      <c r="O31" s="19">
        <f t="shared" si="0"/>
        <v>7</v>
      </c>
      <c r="P31" s="21"/>
      <c r="Q31" s="21"/>
      <c r="R31" s="21"/>
      <c r="S31" s="21"/>
    </row>
    <row r="32" spans="1:19" ht="15" x14ac:dyDescent="0.25">
      <c r="A32" s="13" t="s">
        <v>128</v>
      </c>
      <c r="B32" s="13" t="s">
        <v>129</v>
      </c>
      <c r="C32" s="6"/>
      <c r="D32" s="12"/>
      <c r="E32" s="12"/>
      <c r="F32" s="12">
        <v>1</v>
      </c>
      <c r="G32" s="12">
        <v>1</v>
      </c>
      <c r="H32" s="12">
        <v>1</v>
      </c>
      <c r="I32" s="12">
        <v>1</v>
      </c>
      <c r="J32" s="12"/>
      <c r="K32" s="12"/>
      <c r="L32" s="12"/>
      <c r="M32" s="12"/>
      <c r="N32" s="12"/>
      <c r="O32" s="19">
        <f t="shared" si="0"/>
        <v>4</v>
      </c>
      <c r="P32" s="21"/>
      <c r="Q32" s="21"/>
      <c r="R32" s="21"/>
      <c r="S32" s="21"/>
    </row>
    <row r="33" spans="1:19" ht="15" x14ac:dyDescent="0.25">
      <c r="A33" s="4" t="s">
        <v>26</v>
      </c>
      <c r="B33" s="4" t="s">
        <v>33</v>
      </c>
      <c r="C33" s="6"/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2">
        <v>1</v>
      </c>
      <c r="K33" s="12">
        <v>1</v>
      </c>
      <c r="L33" s="12">
        <v>1</v>
      </c>
      <c r="M33" s="12"/>
      <c r="N33" s="12"/>
      <c r="O33" s="19">
        <f t="shared" si="0"/>
        <v>9</v>
      </c>
      <c r="P33" s="21"/>
      <c r="Q33" s="21"/>
      <c r="R33" s="21"/>
      <c r="S33" s="21"/>
    </row>
    <row r="34" spans="1:19" ht="15" x14ac:dyDescent="0.25">
      <c r="A34" s="4" t="s">
        <v>27</v>
      </c>
      <c r="B34" s="4" t="s">
        <v>44</v>
      </c>
      <c r="C34" s="6"/>
      <c r="D34" s="12"/>
      <c r="E34" s="12"/>
      <c r="F34" s="12"/>
      <c r="G34" s="12"/>
      <c r="H34" s="12"/>
      <c r="I34" s="12"/>
      <c r="J34" s="12">
        <v>1</v>
      </c>
      <c r="K34" s="12">
        <v>1</v>
      </c>
      <c r="L34" s="12"/>
      <c r="M34" s="12"/>
      <c r="N34" s="12"/>
      <c r="O34" s="19">
        <f t="shared" si="0"/>
        <v>2</v>
      </c>
      <c r="P34" s="21"/>
      <c r="Q34" s="21"/>
      <c r="R34" s="21"/>
      <c r="S34" s="21"/>
    </row>
    <row r="35" spans="1:19" ht="15" x14ac:dyDescent="0.25">
      <c r="A35" s="6" t="s">
        <v>83</v>
      </c>
      <c r="B35" s="6" t="s">
        <v>44</v>
      </c>
      <c r="C35" s="6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9">
        <f t="shared" si="0"/>
        <v>0</v>
      </c>
      <c r="P35" s="21"/>
      <c r="Q35" s="21"/>
      <c r="R35" s="21"/>
      <c r="S35" s="21"/>
    </row>
    <row r="36" spans="1:19" ht="15" x14ac:dyDescent="0.25">
      <c r="A36" s="6" t="s">
        <v>28</v>
      </c>
      <c r="B36" s="6" t="s">
        <v>41</v>
      </c>
      <c r="C36" s="6"/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2">
        <v>1</v>
      </c>
      <c r="K36" s="12"/>
      <c r="L36" s="12"/>
      <c r="M36" s="12"/>
      <c r="N36" s="12"/>
      <c r="O36" s="19">
        <f t="shared" si="0"/>
        <v>7</v>
      </c>
      <c r="P36" s="21"/>
      <c r="Q36" s="21"/>
      <c r="R36" s="21"/>
      <c r="S36" s="21"/>
    </row>
    <row r="37" spans="1:19" ht="15" x14ac:dyDescent="0.25">
      <c r="A37" s="4" t="s">
        <v>29</v>
      </c>
      <c r="B37" s="4" t="s">
        <v>42</v>
      </c>
      <c r="C37" s="6"/>
      <c r="D37" s="12"/>
      <c r="E37" s="12"/>
      <c r="F37" s="12">
        <v>1</v>
      </c>
      <c r="G37" s="12">
        <v>1</v>
      </c>
      <c r="H37" s="12">
        <v>1</v>
      </c>
      <c r="I37" s="12">
        <v>1</v>
      </c>
      <c r="J37" s="12"/>
      <c r="K37" s="12"/>
      <c r="L37" s="12"/>
      <c r="M37" s="12"/>
      <c r="N37" s="12"/>
      <c r="O37" s="19">
        <f t="shared" si="0"/>
        <v>4</v>
      </c>
      <c r="P37" s="21"/>
      <c r="Q37" s="21"/>
      <c r="R37" s="21"/>
      <c r="S37" s="21"/>
    </row>
    <row r="38" spans="1:19" ht="15" x14ac:dyDescent="0.25">
      <c r="A38" s="6" t="s">
        <v>30</v>
      </c>
      <c r="B38" s="6" t="s">
        <v>42</v>
      </c>
      <c r="C38" s="6"/>
      <c r="D38" s="12">
        <v>1</v>
      </c>
      <c r="E38" s="12">
        <v>1</v>
      </c>
      <c r="F38" s="12">
        <v>1</v>
      </c>
      <c r="G38" s="12">
        <v>1</v>
      </c>
      <c r="H38" s="12">
        <v>1</v>
      </c>
      <c r="I38" s="12">
        <v>1</v>
      </c>
      <c r="J38" s="12">
        <v>1</v>
      </c>
      <c r="K38" s="12"/>
      <c r="L38" s="12"/>
      <c r="M38" s="12"/>
      <c r="N38" s="12"/>
      <c r="O38" s="19">
        <f t="shared" si="0"/>
        <v>7</v>
      </c>
      <c r="P38" s="21"/>
      <c r="Q38" s="21"/>
      <c r="R38" s="21"/>
      <c r="S38" s="21"/>
    </row>
    <row r="39" spans="1:19" ht="15" x14ac:dyDescent="0.25">
      <c r="A39" s="6" t="s">
        <v>36</v>
      </c>
      <c r="B39" s="6" t="s">
        <v>35</v>
      </c>
      <c r="C39" s="6"/>
      <c r="D39" s="12">
        <v>1</v>
      </c>
      <c r="E39" s="12">
        <v>1</v>
      </c>
      <c r="F39" s="12">
        <v>1</v>
      </c>
      <c r="G39" s="12"/>
      <c r="H39" s="12"/>
      <c r="I39" s="12"/>
      <c r="J39" s="12"/>
      <c r="K39" s="12"/>
      <c r="L39" s="12"/>
      <c r="M39" s="12"/>
      <c r="N39" s="12"/>
      <c r="O39" s="19">
        <f t="shared" si="0"/>
        <v>3</v>
      </c>
      <c r="P39" s="21"/>
      <c r="Q39" s="21"/>
      <c r="R39" s="21"/>
      <c r="S39" s="21"/>
    </row>
    <row r="40" spans="1:19" ht="15" x14ac:dyDescent="0.25">
      <c r="A40" s="6" t="s">
        <v>84</v>
      </c>
      <c r="B40" s="6" t="s">
        <v>35</v>
      </c>
      <c r="C40" s="6"/>
      <c r="D40" s="12"/>
      <c r="E40" s="12"/>
      <c r="F40" s="12"/>
      <c r="G40" s="12"/>
      <c r="H40" s="12"/>
      <c r="I40" s="12"/>
      <c r="J40" s="12"/>
      <c r="K40" s="12">
        <v>1</v>
      </c>
      <c r="L40" s="12"/>
      <c r="M40" s="12"/>
      <c r="N40" s="12"/>
      <c r="O40" s="19">
        <f t="shared" si="0"/>
        <v>1</v>
      </c>
      <c r="P40" s="21"/>
      <c r="Q40" s="21"/>
      <c r="R40" s="21"/>
      <c r="S40" s="21"/>
    </row>
    <row r="41" spans="1:19" ht="15" x14ac:dyDescent="0.25">
      <c r="A41" s="4" t="s">
        <v>111</v>
      </c>
      <c r="B41" s="4" t="s">
        <v>35</v>
      </c>
      <c r="C41" s="6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9">
        <f t="shared" si="0"/>
        <v>0</v>
      </c>
      <c r="P41" s="21"/>
      <c r="Q41" s="21"/>
      <c r="R41" s="21"/>
      <c r="S41" s="21"/>
    </row>
    <row r="42" spans="1:19" ht="15" x14ac:dyDescent="0.25">
      <c r="A42" s="4" t="s">
        <v>31</v>
      </c>
      <c r="B42" s="4" t="s">
        <v>33</v>
      </c>
      <c r="C42" s="6"/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2">
        <v>1</v>
      </c>
      <c r="K42" s="12">
        <v>1</v>
      </c>
      <c r="L42" s="12">
        <v>1</v>
      </c>
      <c r="M42" s="12"/>
      <c r="N42" s="12"/>
      <c r="O42" s="19">
        <f t="shared" si="0"/>
        <v>9</v>
      </c>
      <c r="P42" s="21"/>
      <c r="Q42" s="21"/>
      <c r="R42" s="21"/>
      <c r="S42" s="21"/>
    </row>
    <row r="43" spans="1:19" ht="15" x14ac:dyDescent="0.25">
      <c r="A43" s="6" t="s">
        <v>86</v>
      </c>
      <c r="B43" s="6" t="s">
        <v>37</v>
      </c>
      <c r="C43" s="6"/>
      <c r="D43" s="12">
        <v>1</v>
      </c>
      <c r="E43" s="12">
        <v>1</v>
      </c>
      <c r="F43" s="12">
        <v>1</v>
      </c>
      <c r="G43" s="12">
        <v>1</v>
      </c>
      <c r="H43" s="12">
        <v>1</v>
      </c>
      <c r="I43" s="12">
        <v>1</v>
      </c>
      <c r="J43" s="12">
        <v>1</v>
      </c>
      <c r="K43" s="12">
        <v>1</v>
      </c>
      <c r="L43" s="12"/>
      <c r="M43" s="12"/>
      <c r="N43" s="12"/>
      <c r="O43" s="19">
        <f t="shared" si="0"/>
        <v>8</v>
      </c>
      <c r="P43" s="21"/>
      <c r="Q43" s="21"/>
      <c r="R43" s="21"/>
      <c r="S43" s="21"/>
    </row>
    <row r="44" spans="1:19" ht="15" x14ac:dyDescent="0.25">
      <c r="A44" s="6" t="s">
        <v>39</v>
      </c>
      <c r="B44" s="6" t="s">
        <v>38</v>
      </c>
      <c r="C44" s="6"/>
      <c r="D44" s="12"/>
      <c r="E44" s="12"/>
      <c r="F44" s="12">
        <v>1</v>
      </c>
      <c r="G44" s="12"/>
      <c r="H44" s="12"/>
      <c r="I44" s="12"/>
      <c r="J44" s="12"/>
      <c r="K44" s="12"/>
      <c r="L44" s="12"/>
      <c r="M44" s="12"/>
      <c r="N44" s="12"/>
      <c r="O44" s="19">
        <f t="shared" si="0"/>
        <v>1</v>
      </c>
      <c r="P44" s="21"/>
      <c r="Q44" s="21"/>
      <c r="R44" s="21"/>
      <c r="S44" s="21"/>
    </row>
    <row r="45" spans="1:19" ht="15" x14ac:dyDescent="0.25">
      <c r="A45" s="6" t="s">
        <v>87</v>
      </c>
      <c r="B45" s="6" t="s">
        <v>38</v>
      </c>
      <c r="C45" s="6"/>
      <c r="D45" s="12"/>
      <c r="E45" s="12"/>
      <c r="F45" s="12"/>
      <c r="G45" s="12"/>
      <c r="H45" s="12">
        <v>1</v>
      </c>
      <c r="I45" s="12">
        <v>1</v>
      </c>
      <c r="J45" s="12"/>
      <c r="K45" s="12"/>
      <c r="L45" s="12"/>
      <c r="M45" s="12"/>
      <c r="N45" s="12"/>
      <c r="O45" s="19">
        <f t="shared" si="0"/>
        <v>2</v>
      </c>
      <c r="P45" s="21"/>
      <c r="Q45" s="21"/>
      <c r="R45" s="21"/>
      <c r="S45" s="21"/>
    </row>
    <row r="46" spans="1:19" ht="15" x14ac:dyDescent="0.25">
      <c r="A46" s="4" t="s">
        <v>43</v>
      </c>
      <c r="B46" s="4" t="s">
        <v>42</v>
      </c>
      <c r="C46" s="6"/>
      <c r="D46" s="12"/>
      <c r="E46" s="12"/>
      <c r="F46" s="12">
        <v>1</v>
      </c>
      <c r="G46" s="12">
        <v>1</v>
      </c>
      <c r="H46" s="12">
        <v>1</v>
      </c>
      <c r="I46" s="12">
        <v>1</v>
      </c>
      <c r="J46" s="12"/>
      <c r="K46" s="12"/>
      <c r="L46" s="12"/>
      <c r="M46" s="12"/>
      <c r="N46" s="12"/>
      <c r="O46" s="19">
        <f t="shared" si="0"/>
        <v>4</v>
      </c>
      <c r="P46" s="21"/>
      <c r="Q46" s="21"/>
      <c r="R46" s="21"/>
      <c r="S46" s="21"/>
    </row>
    <row r="47" spans="1:19" ht="15" x14ac:dyDescent="0.25">
      <c r="A47" s="6" t="s">
        <v>88</v>
      </c>
      <c r="B47" s="6" t="s">
        <v>35</v>
      </c>
      <c r="C47" s="6"/>
      <c r="D47" s="12"/>
      <c r="E47" s="12"/>
      <c r="F47" s="12"/>
      <c r="G47" s="12"/>
      <c r="H47" s="12"/>
      <c r="I47" s="12"/>
      <c r="J47" s="12"/>
      <c r="K47" s="12">
        <v>1</v>
      </c>
      <c r="L47" s="12">
        <v>1</v>
      </c>
      <c r="M47" s="12"/>
      <c r="N47" s="12"/>
      <c r="O47" s="19">
        <f t="shared" si="0"/>
        <v>2</v>
      </c>
      <c r="P47" s="21"/>
      <c r="Q47" s="21"/>
      <c r="R47" s="21"/>
      <c r="S47" s="21"/>
    </row>
    <row r="48" spans="1:19" ht="15" x14ac:dyDescent="0.25">
      <c r="A48" s="13" t="s">
        <v>125</v>
      </c>
      <c r="B48" s="13" t="s">
        <v>38</v>
      </c>
      <c r="C48" s="12"/>
      <c r="D48" s="12"/>
      <c r="E48" s="12"/>
      <c r="F48" s="12">
        <v>1</v>
      </c>
      <c r="G48" s="12">
        <v>1</v>
      </c>
      <c r="H48" s="12">
        <v>1</v>
      </c>
      <c r="I48" s="12">
        <v>1</v>
      </c>
      <c r="J48" s="12"/>
      <c r="K48" s="12"/>
      <c r="L48" s="12"/>
      <c r="M48" s="12"/>
      <c r="N48" s="12"/>
      <c r="O48" s="19">
        <f t="shared" si="0"/>
        <v>4</v>
      </c>
      <c r="P48" s="21"/>
      <c r="Q48" s="21"/>
      <c r="R48" s="21"/>
      <c r="S48" s="21"/>
    </row>
  </sheetData>
  <autoFilter ref="A1:O48" xr:uid="{A9783C7E-5268-4336-BA5F-E370D7992C75}"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sortState xmlns:xlrd2="http://schemas.microsoft.com/office/spreadsheetml/2017/richdata2" ref="A4:O48">
      <sortCondition ref="A1:A48"/>
    </sortState>
  </autoFilter>
  <mergeCells count="4">
    <mergeCell ref="C1:N1"/>
    <mergeCell ref="B1:B2"/>
    <mergeCell ref="A1:A2"/>
    <mergeCell ref="O1:O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P19"/>
  <sheetViews>
    <sheetView zoomScale="85" zoomScaleNormal="85" workbookViewId="0"/>
  </sheetViews>
  <sheetFormatPr defaultRowHeight="14.25" x14ac:dyDescent="0.2"/>
  <cols>
    <col min="1" max="1" width="16.875" bestFit="1" customWidth="1"/>
    <col min="2" max="2" width="10.625" bestFit="1" customWidth="1"/>
    <col min="3" max="3" width="5.125" bestFit="1" customWidth="1"/>
    <col min="4" max="4" width="18.625" bestFit="1" customWidth="1"/>
    <col min="5" max="5" width="14" bestFit="1" customWidth="1"/>
    <col min="6" max="6" width="12.5" bestFit="1" customWidth="1"/>
    <col min="7" max="7" width="12.375" bestFit="1" customWidth="1"/>
    <col min="8" max="8" width="13.5" bestFit="1" customWidth="1"/>
    <col min="9" max="9" width="6.125" bestFit="1" customWidth="1"/>
    <col min="10" max="10" width="14.5" bestFit="1" customWidth="1"/>
    <col min="11" max="11" width="6.125" bestFit="1" customWidth="1"/>
    <col min="12" max="12" width="28.375" bestFit="1" customWidth="1"/>
    <col min="13" max="13" width="15.75" bestFit="1" customWidth="1"/>
    <col min="14" max="14" width="33.625" bestFit="1" customWidth="1"/>
    <col min="15" max="15" width="7.875" bestFit="1" customWidth="1"/>
    <col min="16" max="16" width="14.875" bestFit="1" customWidth="1"/>
    <col min="17" max="1019" width="11" customWidth="1"/>
  </cols>
  <sheetData>
    <row r="1" spans="1:16" x14ac:dyDescent="0.2">
      <c r="A1" s="8"/>
      <c r="B1" s="8"/>
      <c r="C1" s="8"/>
      <c r="D1" s="8"/>
      <c r="E1" s="8"/>
      <c r="F1" s="67" t="s">
        <v>57</v>
      </c>
      <c r="G1" s="67"/>
      <c r="H1" s="67" t="s">
        <v>52</v>
      </c>
      <c r="I1" s="67"/>
      <c r="J1" s="67"/>
      <c r="K1" s="67"/>
      <c r="L1" s="9"/>
      <c r="M1" s="10"/>
    </row>
    <row r="2" spans="1:16" x14ac:dyDescent="0.2">
      <c r="A2" s="3" t="s">
        <v>12</v>
      </c>
      <c r="B2" s="3" t="s">
        <v>58</v>
      </c>
      <c r="C2" s="3" t="s">
        <v>59</v>
      </c>
      <c r="D2" s="3" t="s">
        <v>60</v>
      </c>
      <c r="E2" s="3" t="s">
        <v>32</v>
      </c>
      <c r="F2" s="3" t="s">
        <v>61</v>
      </c>
      <c r="G2" s="3" t="s">
        <v>62</v>
      </c>
      <c r="H2" s="11" t="s">
        <v>63</v>
      </c>
      <c r="I2" s="11" t="s">
        <v>64</v>
      </c>
      <c r="J2" s="11" t="s">
        <v>65</v>
      </c>
      <c r="K2" s="11" t="s">
        <v>64</v>
      </c>
      <c r="L2" s="11" t="s">
        <v>66</v>
      </c>
      <c r="M2" s="11" t="s">
        <v>67</v>
      </c>
      <c r="N2" s="17" t="s">
        <v>132</v>
      </c>
      <c r="O2" s="17" t="s">
        <v>13</v>
      </c>
      <c r="P2" s="17" t="s">
        <v>139</v>
      </c>
    </row>
    <row r="3" spans="1:16" x14ac:dyDescent="0.2">
      <c r="A3" s="6" t="s">
        <v>22</v>
      </c>
      <c r="B3" s="6" t="s">
        <v>33</v>
      </c>
      <c r="C3" s="6">
        <v>180</v>
      </c>
      <c r="D3" s="6" t="s">
        <v>81</v>
      </c>
      <c r="E3" s="6">
        <v>3</v>
      </c>
      <c r="F3" s="6">
        <v>2</v>
      </c>
      <c r="G3" s="6">
        <v>7</v>
      </c>
      <c r="H3" s="6">
        <v>2</v>
      </c>
      <c r="I3" s="6" t="s">
        <v>82</v>
      </c>
      <c r="J3" s="6">
        <v>6.7</v>
      </c>
      <c r="K3" s="6" t="s">
        <v>82</v>
      </c>
      <c r="L3" s="6" t="s">
        <v>71</v>
      </c>
      <c r="M3" s="6">
        <v>250</v>
      </c>
      <c r="N3" s="6">
        <f>VLOOKUP(A3,'Planting Constraints'!$A:$O,15,0)</f>
        <v>2</v>
      </c>
      <c r="O3" s="20">
        <v>1.5</v>
      </c>
      <c r="P3" s="12" t="s">
        <v>140</v>
      </c>
    </row>
    <row r="4" spans="1:16" x14ac:dyDescent="0.2">
      <c r="A4" s="6" t="s">
        <v>30</v>
      </c>
      <c r="B4" s="6" t="s">
        <v>42</v>
      </c>
      <c r="C4" s="6">
        <v>70</v>
      </c>
      <c r="D4" s="6" t="s">
        <v>81</v>
      </c>
      <c r="E4" s="6">
        <v>2</v>
      </c>
      <c r="F4" s="6">
        <v>1</v>
      </c>
      <c r="G4" s="6">
        <v>3</v>
      </c>
      <c r="H4" s="6">
        <v>2.5</v>
      </c>
      <c r="I4" s="6" t="s">
        <v>17</v>
      </c>
      <c r="J4" s="6">
        <v>4</v>
      </c>
      <c r="K4" s="6" t="s">
        <v>69</v>
      </c>
      <c r="L4" s="6" t="s">
        <v>70</v>
      </c>
      <c r="M4" s="6">
        <v>1000</v>
      </c>
      <c r="N4" s="6">
        <f>VLOOKUP(A4,'Planting Constraints'!$A:$O,15,0)</f>
        <v>7</v>
      </c>
      <c r="O4" s="20">
        <v>1.5</v>
      </c>
      <c r="P4" s="12" t="s">
        <v>140</v>
      </c>
    </row>
    <row r="5" spans="1:16" x14ac:dyDescent="0.2">
      <c r="A5" s="12" t="s">
        <v>125</v>
      </c>
      <c r="B5" s="6" t="s">
        <v>38</v>
      </c>
      <c r="C5" s="12">
        <v>84</v>
      </c>
      <c r="D5" s="6" t="s">
        <v>79</v>
      </c>
      <c r="E5" s="12">
        <v>2</v>
      </c>
      <c r="F5" s="12">
        <v>2</v>
      </c>
      <c r="G5" s="6">
        <v>7</v>
      </c>
      <c r="H5" s="12">
        <v>4</v>
      </c>
      <c r="I5" s="12" t="s">
        <v>126</v>
      </c>
      <c r="J5" s="6">
        <v>6.5</v>
      </c>
      <c r="K5" s="12" t="s">
        <v>69</v>
      </c>
      <c r="L5" s="12" t="s">
        <v>71</v>
      </c>
      <c r="M5" s="12">
        <v>6</v>
      </c>
      <c r="N5" s="6">
        <f>VLOOKUP(A5,'Planting Constraints'!$A:$O,15,0)</f>
        <v>4</v>
      </c>
      <c r="O5" s="20">
        <v>5</v>
      </c>
      <c r="P5" s="12" t="s">
        <v>142</v>
      </c>
    </row>
    <row r="6" spans="1:16" x14ac:dyDescent="0.2">
      <c r="A6" s="6" t="s">
        <v>72</v>
      </c>
      <c r="B6" s="6" t="s">
        <v>35</v>
      </c>
      <c r="C6" s="6">
        <v>28</v>
      </c>
      <c r="D6" s="6" t="s">
        <v>73</v>
      </c>
      <c r="E6" s="6">
        <v>3</v>
      </c>
      <c r="F6" s="6">
        <v>55</v>
      </c>
      <c r="G6" s="6">
        <v>180</v>
      </c>
      <c r="H6" s="6">
        <v>0.55000000000000004</v>
      </c>
      <c r="I6" s="6" t="s">
        <v>17</v>
      </c>
      <c r="J6" s="6">
        <v>0.8</v>
      </c>
      <c r="K6" s="6" t="s">
        <v>69</v>
      </c>
      <c r="L6" s="6" t="s">
        <v>74</v>
      </c>
      <c r="M6" s="6">
        <v>450</v>
      </c>
      <c r="N6" s="6">
        <f>VLOOKUP(A6,'Planting Constraints'!$A:$O,15,0)</f>
        <v>6</v>
      </c>
      <c r="O6" s="20">
        <v>10</v>
      </c>
      <c r="P6" s="6" t="s">
        <v>141</v>
      </c>
    </row>
    <row r="7" spans="1:16" x14ac:dyDescent="0.2">
      <c r="A7" s="6" t="s">
        <v>19</v>
      </c>
      <c r="B7" s="6" t="s">
        <v>44</v>
      </c>
      <c r="C7" s="6">
        <v>56</v>
      </c>
      <c r="D7" s="6" t="s">
        <v>73</v>
      </c>
      <c r="E7" s="6">
        <v>3</v>
      </c>
      <c r="F7" s="6">
        <v>30</v>
      </c>
      <c r="G7" s="6">
        <v>100</v>
      </c>
      <c r="H7" s="6">
        <v>1</v>
      </c>
      <c r="I7" s="6" t="s">
        <v>14</v>
      </c>
      <c r="J7" s="6">
        <v>3.3</v>
      </c>
      <c r="K7" s="6" t="s">
        <v>14</v>
      </c>
      <c r="L7" s="6" t="s">
        <v>74</v>
      </c>
      <c r="M7" s="6">
        <v>75</v>
      </c>
      <c r="N7" s="6">
        <f>VLOOKUP(A7,'Planting Constraints'!$A:$O,15,0)</f>
        <v>0</v>
      </c>
      <c r="O7" s="20">
        <v>2</v>
      </c>
      <c r="P7" s="6" t="s">
        <v>141</v>
      </c>
    </row>
    <row r="8" spans="1:16" x14ac:dyDescent="0.2">
      <c r="A8" s="6" t="s">
        <v>36</v>
      </c>
      <c r="B8" s="6" t="s">
        <v>35</v>
      </c>
      <c r="C8" s="6">
        <v>28</v>
      </c>
      <c r="D8" s="6" t="s">
        <v>73</v>
      </c>
      <c r="E8" s="6">
        <v>3</v>
      </c>
      <c r="F8" s="6">
        <v>30</v>
      </c>
      <c r="G8" s="6">
        <v>100</v>
      </c>
      <c r="H8" s="6">
        <v>1</v>
      </c>
      <c r="I8" s="6" t="s">
        <v>14</v>
      </c>
      <c r="J8" s="6">
        <v>3.3</v>
      </c>
      <c r="K8" s="6" t="s">
        <v>14</v>
      </c>
      <c r="L8" s="6" t="s">
        <v>71</v>
      </c>
      <c r="M8" s="6">
        <v>90</v>
      </c>
      <c r="N8" s="6">
        <f>VLOOKUP(A8,'Planting Constraints'!$A:$O,15,0)</f>
        <v>3</v>
      </c>
      <c r="O8" s="20">
        <v>2</v>
      </c>
      <c r="P8" s="6" t="s">
        <v>141</v>
      </c>
    </row>
    <row r="9" spans="1:16" x14ac:dyDescent="0.2">
      <c r="A9" s="6" t="s">
        <v>84</v>
      </c>
      <c r="B9" s="6" t="s">
        <v>35</v>
      </c>
      <c r="C9" s="6">
        <v>49</v>
      </c>
      <c r="D9" s="6" t="s">
        <v>68</v>
      </c>
      <c r="E9" s="6">
        <v>3</v>
      </c>
      <c r="F9" s="6">
        <v>6</v>
      </c>
      <c r="G9" s="6">
        <v>20</v>
      </c>
      <c r="H9" s="6">
        <v>2</v>
      </c>
      <c r="I9" s="6" t="s">
        <v>85</v>
      </c>
      <c r="J9" s="6">
        <v>6.7</v>
      </c>
      <c r="K9" s="6" t="s">
        <v>85</v>
      </c>
      <c r="L9" s="6" t="s">
        <v>71</v>
      </c>
      <c r="M9" s="6">
        <v>56</v>
      </c>
      <c r="N9" s="6">
        <f>VLOOKUP(A9,'Planting Constraints'!$A:$O,15,0)</f>
        <v>1</v>
      </c>
      <c r="O9" s="20">
        <v>2</v>
      </c>
      <c r="P9" s="6" t="s">
        <v>141</v>
      </c>
    </row>
    <row r="10" spans="1:16" x14ac:dyDescent="0.2">
      <c r="A10" s="6" t="s">
        <v>88</v>
      </c>
      <c r="B10" s="6" t="s">
        <v>35</v>
      </c>
      <c r="C10" s="6">
        <v>42</v>
      </c>
      <c r="D10" s="6" t="s">
        <v>68</v>
      </c>
      <c r="E10" s="6">
        <v>3</v>
      </c>
      <c r="F10" s="6">
        <v>30</v>
      </c>
      <c r="G10" s="6">
        <v>100</v>
      </c>
      <c r="H10" s="6">
        <v>0.7</v>
      </c>
      <c r="I10" s="6" t="s">
        <v>14</v>
      </c>
      <c r="J10" s="6">
        <v>2.2999999999999998</v>
      </c>
      <c r="K10" s="6" t="s">
        <v>14</v>
      </c>
      <c r="L10" s="6" t="s">
        <v>71</v>
      </c>
      <c r="M10" s="6">
        <v>390</v>
      </c>
      <c r="N10" s="6">
        <f>VLOOKUP(A10,'Planting Constraints'!$A:$O,15,0)</f>
        <v>2</v>
      </c>
      <c r="O10" s="20">
        <v>3</v>
      </c>
      <c r="P10" s="6" t="s">
        <v>141</v>
      </c>
    </row>
    <row r="11" spans="1:16" x14ac:dyDescent="0.2">
      <c r="A11" s="12" t="s">
        <v>127</v>
      </c>
      <c r="B11" s="12" t="s">
        <v>35</v>
      </c>
      <c r="C11" s="12">
        <v>49</v>
      </c>
      <c r="D11" s="12" t="s">
        <v>77</v>
      </c>
      <c r="E11" s="12">
        <v>3</v>
      </c>
      <c r="F11" s="12">
        <v>2</v>
      </c>
      <c r="G11" s="12">
        <v>7</v>
      </c>
      <c r="H11" s="6">
        <v>1</v>
      </c>
      <c r="I11" s="6" t="s">
        <v>17</v>
      </c>
      <c r="J11" s="6">
        <v>1.6</v>
      </c>
      <c r="K11" s="12" t="s">
        <v>69</v>
      </c>
      <c r="L11" s="12" t="s">
        <v>71</v>
      </c>
      <c r="M11" s="6">
        <v>350</v>
      </c>
      <c r="N11" s="6">
        <f>VLOOKUP(A11,'Planting Constraints'!$A:$O,15,0)</f>
        <v>7</v>
      </c>
      <c r="O11" s="20">
        <v>4</v>
      </c>
      <c r="P11" s="12" t="s">
        <v>141</v>
      </c>
    </row>
    <row r="12" spans="1:16" x14ac:dyDescent="0.2">
      <c r="A12" s="6" t="s">
        <v>115</v>
      </c>
      <c r="B12" s="6" t="s">
        <v>37</v>
      </c>
      <c r="C12" s="6">
        <v>49</v>
      </c>
      <c r="D12" s="6" t="s">
        <v>68</v>
      </c>
      <c r="E12" s="6">
        <v>3</v>
      </c>
      <c r="F12" s="6">
        <v>16</v>
      </c>
      <c r="G12" s="6">
        <v>50</v>
      </c>
      <c r="H12" s="6">
        <v>1.1000000000000001</v>
      </c>
      <c r="I12" s="6" t="s">
        <v>17</v>
      </c>
      <c r="J12" s="6">
        <v>1.7</v>
      </c>
      <c r="K12" s="6" t="s">
        <v>69</v>
      </c>
      <c r="L12" s="6" t="s">
        <v>71</v>
      </c>
      <c r="M12" s="6">
        <v>55</v>
      </c>
      <c r="N12" s="6">
        <f>VLOOKUP(A12,'Planting Constraints'!$A:$O,15,0)</f>
        <v>8</v>
      </c>
      <c r="O12" s="20">
        <v>2.5</v>
      </c>
      <c r="P12" s="6" t="s">
        <v>143</v>
      </c>
    </row>
    <row r="13" spans="1:16" x14ac:dyDescent="0.2">
      <c r="A13" s="6" t="s">
        <v>114</v>
      </c>
      <c r="B13" s="6" t="s">
        <v>44</v>
      </c>
      <c r="C13" s="6">
        <v>56</v>
      </c>
      <c r="D13" s="6" t="s">
        <v>68</v>
      </c>
      <c r="E13" s="6">
        <v>3</v>
      </c>
      <c r="F13" s="6">
        <v>30</v>
      </c>
      <c r="G13" s="6">
        <v>100</v>
      </c>
      <c r="H13" s="6">
        <v>1</v>
      </c>
      <c r="I13" s="6" t="s">
        <v>17</v>
      </c>
      <c r="J13" s="6">
        <v>1.7</v>
      </c>
      <c r="K13" s="6" t="s">
        <v>69</v>
      </c>
      <c r="L13" s="6" t="s">
        <v>71</v>
      </c>
      <c r="M13" s="6">
        <v>640</v>
      </c>
      <c r="N13" s="6">
        <f>VLOOKUP(A13,'Planting Constraints'!$A:$O,15,0)</f>
        <v>7</v>
      </c>
      <c r="O13" s="20">
        <v>2.5</v>
      </c>
      <c r="P13" s="6" t="s">
        <v>143</v>
      </c>
    </row>
    <row r="14" spans="1:16" x14ac:dyDescent="0.2">
      <c r="A14" s="6" t="s">
        <v>80</v>
      </c>
      <c r="B14" s="6" t="s">
        <v>44</v>
      </c>
      <c r="C14" s="6">
        <v>49</v>
      </c>
      <c r="D14" s="6" t="s">
        <v>73</v>
      </c>
      <c r="E14" s="6">
        <v>3</v>
      </c>
      <c r="F14" s="6">
        <v>30</v>
      </c>
      <c r="G14" s="6">
        <v>100</v>
      </c>
      <c r="H14" s="6">
        <v>1</v>
      </c>
      <c r="I14" s="6" t="s">
        <v>14</v>
      </c>
      <c r="J14" s="6">
        <v>3.3</v>
      </c>
      <c r="K14" s="6" t="s">
        <v>14</v>
      </c>
      <c r="L14" s="6" t="s">
        <v>74</v>
      </c>
      <c r="M14" s="6">
        <v>400</v>
      </c>
      <c r="N14" s="6">
        <f>VLOOKUP(A14,'Planting Constraints'!$A:$O,15,0)</f>
        <v>0</v>
      </c>
      <c r="O14" s="20">
        <v>2</v>
      </c>
      <c r="P14" s="6" t="s">
        <v>143</v>
      </c>
    </row>
    <row r="15" spans="1:16" x14ac:dyDescent="0.2">
      <c r="A15" s="6" t="s">
        <v>86</v>
      </c>
      <c r="B15" s="6" t="s">
        <v>37</v>
      </c>
      <c r="C15" s="6">
        <v>42</v>
      </c>
      <c r="D15" s="6" t="s">
        <v>68</v>
      </c>
      <c r="E15" s="6">
        <v>3</v>
      </c>
      <c r="F15" s="6">
        <v>10</v>
      </c>
      <c r="G15" s="6">
        <v>33</v>
      </c>
      <c r="H15" s="6">
        <v>0.35</v>
      </c>
      <c r="I15" s="6" t="s">
        <v>17</v>
      </c>
      <c r="J15" s="6">
        <v>0.5</v>
      </c>
      <c r="K15" s="6" t="s">
        <v>69</v>
      </c>
      <c r="L15" s="6" t="s">
        <v>74</v>
      </c>
      <c r="M15" s="6">
        <v>80</v>
      </c>
      <c r="N15" s="6">
        <f>VLOOKUP(A15,'Planting Constraints'!$A:$O,15,0)</f>
        <v>8</v>
      </c>
      <c r="O15" s="20">
        <v>3</v>
      </c>
      <c r="P15" s="6" t="s">
        <v>143</v>
      </c>
    </row>
    <row r="16" spans="1:16" x14ac:dyDescent="0.2">
      <c r="A16" s="6" t="s">
        <v>16</v>
      </c>
      <c r="B16" s="6" t="s">
        <v>41</v>
      </c>
      <c r="C16" s="6">
        <v>56</v>
      </c>
      <c r="D16" s="6" t="s">
        <v>68</v>
      </c>
      <c r="E16" s="6">
        <v>2</v>
      </c>
      <c r="F16" s="6">
        <v>12</v>
      </c>
      <c r="G16" s="6">
        <v>35</v>
      </c>
      <c r="H16" s="6">
        <v>0.55000000000000004</v>
      </c>
      <c r="I16" s="6" t="s">
        <v>17</v>
      </c>
      <c r="J16" s="6">
        <v>0.8</v>
      </c>
      <c r="K16" s="6" t="s">
        <v>69</v>
      </c>
      <c r="L16" s="6" t="s">
        <v>70</v>
      </c>
      <c r="M16" s="6">
        <v>4.2</v>
      </c>
      <c r="N16" s="6">
        <f>VLOOKUP(A16,'Planting Constraints'!$A:$O,15,0)</f>
        <v>7</v>
      </c>
      <c r="O16" s="20">
        <v>2</v>
      </c>
      <c r="P16" s="6" t="s">
        <v>144</v>
      </c>
    </row>
    <row r="17" spans="1:16" x14ac:dyDescent="0.2">
      <c r="A17" s="6" t="s">
        <v>28</v>
      </c>
      <c r="B17" s="6" t="s">
        <v>41</v>
      </c>
      <c r="C17" s="6">
        <v>49</v>
      </c>
      <c r="D17" s="6" t="s">
        <v>81</v>
      </c>
      <c r="E17" s="6">
        <v>2</v>
      </c>
      <c r="F17" s="6">
        <v>25</v>
      </c>
      <c r="G17" s="6">
        <v>80</v>
      </c>
      <c r="H17" s="6">
        <v>0.2</v>
      </c>
      <c r="I17" s="6" t="s">
        <v>17</v>
      </c>
      <c r="J17" s="6">
        <v>0.3</v>
      </c>
      <c r="K17" s="6" t="s">
        <v>69</v>
      </c>
      <c r="L17" s="6" t="s">
        <v>70</v>
      </c>
      <c r="M17" s="6">
        <v>4.5</v>
      </c>
      <c r="N17" s="6">
        <f>VLOOKUP(A17,'Planting Constraints'!$A:$O,15,0)</f>
        <v>7</v>
      </c>
      <c r="O17" s="20">
        <v>5.5</v>
      </c>
      <c r="P17" s="6" t="s">
        <v>144</v>
      </c>
    </row>
    <row r="18" spans="1:16" x14ac:dyDescent="0.2">
      <c r="A18" s="12" t="s">
        <v>128</v>
      </c>
      <c r="B18" s="12" t="s">
        <v>129</v>
      </c>
      <c r="C18" s="12">
        <v>63</v>
      </c>
      <c r="D18" s="12" t="s">
        <v>79</v>
      </c>
      <c r="E18" s="12">
        <v>2</v>
      </c>
      <c r="F18" s="12">
        <v>3</v>
      </c>
      <c r="G18" s="6">
        <v>11</v>
      </c>
      <c r="H18" s="12">
        <v>0.5</v>
      </c>
      <c r="I18" s="12" t="s">
        <v>17</v>
      </c>
      <c r="J18" s="6">
        <v>0.8</v>
      </c>
      <c r="K18" s="12" t="s">
        <v>69</v>
      </c>
      <c r="L18" s="12" t="s">
        <v>71</v>
      </c>
      <c r="M18" s="6">
        <v>15</v>
      </c>
      <c r="N18" s="6">
        <f>VLOOKUP(A18,'Planting Constraints'!$A:$O,15,0)</f>
        <v>4</v>
      </c>
      <c r="O18" s="20">
        <v>1.5</v>
      </c>
      <c r="P18" s="6" t="s">
        <v>145</v>
      </c>
    </row>
    <row r="19" spans="1:16" x14ac:dyDescent="0.2">
      <c r="A19" s="6" t="s">
        <v>83</v>
      </c>
      <c r="B19" s="6" t="s">
        <v>44</v>
      </c>
      <c r="C19" s="6">
        <v>112</v>
      </c>
      <c r="D19" s="6" t="s">
        <v>81</v>
      </c>
      <c r="E19" s="6">
        <v>3</v>
      </c>
      <c r="F19" s="6">
        <v>20</v>
      </c>
      <c r="G19" s="6">
        <v>70</v>
      </c>
      <c r="H19" s="6">
        <v>0.4</v>
      </c>
      <c r="I19" s="6" t="s">
        <v>17</v>
      </c>
      <c r="J19" s="6">
        <v>0.7</v>
      </c>
      <c r="K19" s="6" t="s">
        <v>69</v>
      </c>
      <c r="L19" s="6" t="s">
        <v>70</v>
      </c>
      <c r="M19" s="6">
        <v>220</v>
      </c>
      <c r="N19" s="6">
        <f>VLOOKUP(A19,'Planting Constraints'!$A:$O,15,0)</f>
        <v>0</v>
      </c>
      <c r="O19" s="20">
        <v>2.5</v>
      </c>
      <c r="P19" s="6" t="s">
        <v>146</v>
      </c>
    </row>
  </sheetData>
  <autoFilter ref="A2:P19" xr:uid="{4B8FA8C7-CE03-4781-876F-FA62FD1C8578}">
    <sortState xmlns:xlrd2="http://schemas.microsoft.com/office/spreadsheetml/2017/richdata2" ref="A3:P19">
      <sortCondition ref="P2:P19"/>
    </sortState>
  </autoFilter>
  <mergeCells count="2">
    <mergeCell ref="F1:G1"/>
    <mergeCell ref="H1:K1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">
    <tabColor theme="9" tint="0.79998168889431442"/>
  </sheetPr>
  <dimension ref="A1:U29"/>
  <sheetViews>
    <sheetView zoomScale="85" zoomScaleNormal="85" workbookViewId="0"/>
  </sheetViews>
  <sheetFormatPr defaultRowHeight="14.25" x14ac:dyDescent="0.2"/>
  <cols>
    <col min="1" max="1" width="16.25" bestFit="1" customWidth="1"/>
    <col min="2" max="2" width="12.375" bestFit="1" customWidth="1"/>
    <col min="3" max="3" width="9.875" bestFit="1" customWidth="1"/>
    <col min="4" max="4" width="23.375" bestFit="1" customWidth="1"/>
    <col min="5" max="5" width="18.25" bestFit="1" customWidth="1"/>
    <col min="6" max="6" width="7.875" bestFit="1" customWidth="1"/>
    <col min="7" max="7" width="8.375" bestFit="1" customWidth="1"/>
    <col min="8" max="8" width="5.125" bestFit="1" customWidth="1"/>
    <col min="9" max="9" width="8.125" customWidth="1"/>
    <col min="10" max="10" width="4.125" bestFit="1" customWidth="1"/>
    <col min="11" max="11" width="8.125" customWidth="1"/>
    <col min="12" max="12" width="16.625" bestFit="1" customWidth="1"/>
    <col min="13" max="13" width="19.25" bestFit="1" customWidth="1"/>
    <col min="14" max="14" width="11.75" bestFit="1" customWidth="1"/>
    <col min="15" max="15" width="16.5" bestFit="1" customWidth="1"/>
    <col min="16" max="16" width="17.75" bestFit="1" customWidth="1"/>
    <col min="17" max="17" width="35.625" bestFit="1" customWidth="1"/>
    <col min="18" max="18" width="10.25" bestFit="1" customWidth="1"/>
    <col min="19" max="19" width="16.875" bestFit="1" customWidth="1"/>
    <col min="20" max="20" width="10.625" bestFit="1" customWidth="1"/>
    <col min="21" max="21" width="18" bestFit="1" customWidth="1"/>
  </cols>
  <sheetData>
    <row r="1" spans="1:21" x14ac:dyDescent="0.2">
      <c r="A1" s="26"/>
      <c r="B1" s="27"/>
      <c r="C1" s="27"/>
      <c r="D1" s="27"/>
      <c r="E1" s="27"/>
      <c r="F1" s="68" t="s">
        <v>89</v>
      </c>
      <c r="G1" s="68"/>
      <c r="H1" s="68" t="s">
        <v>52</v>
      </c>
      <c r="I1" s="68"/>
      <c r="J1" s="68"/>
      <c r="K1" s="68"/>
      <c r="L1" s="28"/>
      <c r="M1" s="28"/>
      <c r="N1" s="28"/>
      <c r="O1" s="28"/>
      <c r="P1" s="28"/>
    </row>
    <row r="2" spans="1:21" x14ac:dyDescent="0.2">
      <c r="A2" s="3" t="s">
        <v>12</v>
      </c>
      <c r="B2" s="3" t="s">
        <v>90</v>
      </c>
      <c r="C2" s="3" t="s">
        <v>59</v>
      </c>
      <c r="D2" s="3" t="s">
        <v>91</v>
      </c>
      <c r="E2" s="3" t="s">
        <v>32</v>
      </c>
      <c r="F2" s="3" t="s">
        <v>92</v>
      </c>
      <c r="G2" s="3" t="s">
        <v>93</v>
      </c>
      <c r="H2" s="69" t="s">
        <v>94</v>
      </c>
      <c r="I2" s="69"/>
      <c r="J2" s="69" t="s">
        <v>65</v>
      </c>
      <c r="K2" s="69"/>
      <c r="L2" s="5" t="s">
        <v>95</v>
      </c>
      <c r="M2" s="5" t="s">
        <v>96</v>
      </c>
      <c r="N2" s="5" t="s">
        <v>97</v>
      </c>
      <c r="O2" s="5" t="s">
        <v>98</v>
      </c>
      <c r="P2" s="5" t="s">
        <v>67</v>
      </c>
      <c r="Q2" s="17" t="s">
        <v>132</v>
      </c>
      <c r="R2" s="17" t="s">
        <v>13</v>
      </c>
      <c r="S2" s="17" t="s">
        <v>139</v>
      </c>
      <c r="T2" s="17" t="s">
        <v>156</v>
      </c>
      <c r="U2" s="17" t="s">
        <v>158</v>
      </c>
    </row>
    <row r="3" spans="1:21" x14ac:dyDescent="0.2">
      <c r="A3" s="4" t="s">
        <v>107</v>
      </c>
      <c r="B3" s="4" t="s">
        <v>42</v>
      </c>
      <c r="C3" s="4">
        <v>63</v>
      </c>
      <c r="D3" s="4" t="s">
        <v>81</v>
      </c>
      <c r="E3" s="4">
        <v>2</v>
      </c>
      <c r="F3" s="4">
        <v>1.5</v>
      </c>
      <c r="G3" s="4">
        <v>0.45</v>
      </c>
      <c r="H3" s="4">
        <v>1.1000000000000001</v>
      </c>
      <c r="I3" s="4" t="s">
        <v>126</v>
      </c>
      <c r="J3" s="4">
        <v>1.7</v>
      </c>
      <c r="K3" s="6" t="s">
        <v>69</v>
      </c>
      <c r="L3" s="4" t="s">
        <v>71</v>
      </c>
      <c r="M3" s="4">
        <v>56</v>
      </c>
      <c r="N3" s="4">
        <v>72</v>
      </c>
      <c r="O3" s="4">
        <v>1</v>
      </c>
      <c r="P3" s="4">
        <v>220</v>
      </c>
      <c r="Q3" s="6">
        <f>VLOOKUP(A3,'Planting Constraints'!$A:$O,15,0)</f>
        <v>3</v>
      </c>
      <c r="R3" s="20">
        <v>2.5</v>
      </c>
      <c r="S3" s="6" t="s">
        <v>140</v>
      </c>
      <c r="T3" s="6" t="b">
        <v>1</v>
      </c>
      <c r="U3" s="6">
        <v>50</v>
      </c>
    </row>
    <row r="4" spans="1:21" x14ac:dyDescent="0.2">
      <c r="A4" s="4" t="s">
        <v>43</v>
      </c>
      <c r="B4" s="4" t="s">
        <v>42</v>
      </c>
      <c r="C4" s="4">
        <v>63</v>
      </c>
      <c r="D4" s="4" t="s">
        <v>81</v>
      </c>
      <c r="E4" s="4">
        <v>1</v>
      </c>
      <c r="F4" s="4">
        <v>1.5</v>
      </c>
      <c r="G4" s="4">
        <v>0.45</v>
      </c>
      <c r="H4" s="4">
        <v>2.2000000000000002</v>
      </c>
      <c r="I4" s="4" t="s">
        <v>126</v>
      </c>
      <c r="J4" s="4">
        <v>3.3</v>
      </c>
      <c r="K4" s="6" t="s">
        <v>69</v>
      </c>
      <c r="L4" s="4" t="s">
        <v>71</v>
      </c>
      <c r="M4" s="4">
        <v>42</v>
      </c>
      <c r="N4" s="4">
        <v>72</v>
      </c>
      <c r="O4" s="4">
        <v>1</v>
      </c>
      <c r="P4" s="4">
        <v>350</v>
      </c>
      <c r="Q4" s="6">
        <f>VLOOKUP(A4,'Planting Constraints'!$A:$O,15,0)</f>
        <v>4</v>
      </c>
      <c r="R4" s="20">
        <v>2</v>
      </c>
      <c r="S4" s="6" t="s">
        <v>140</v>
      </c>
      <c r="T4" s="6" t="b">
        <v>1</v>
      </c>
      <c r="U4" s="6">
        <v>50</v>
      </c>
    </row>
    <row r="5" spans="1:21" x14ac:dyDescent="0.2">
      <c r="A5" s="4" t="s">
        <v>29</v>
      </c>
      <c r="B5" s="4" t="s">
        <v>42</v>
      </c>
      <c r="C5" s="4">
        <v>70</v>
      </c>
      <c r="D5" s="4" t="s">
        <v>81</v>
      </c>
      <c r="E5" s="4">
        <v>2</v>
      </c>
      <c r="F5" s="4">
        <v>1.5</v>
      </c>
      <c r="G5" s="4">
        <v>0.45</v>
      </c>
      <c r="H5" s="4">
        <v>2</v>
      </c>
      <c r="I5" s="4" t="s">
        <v>21</v>
      </c>
      <c r="J5" s="4">
        <v>7</v>
      </c>
      <c r="K5" s="6" t="s">
        <v>21</v>
      </c>
      <c r="L5" s="4" t="s">
        <v>71</v>
      </c>
      <c r="M5" s="4">
        <v>63</v>
      </c>
      <c r="N5" s="4">
        <v>72</v>
      </c>
      <c r="O5" s="4">
        <v>1</v>
      </c>
      <c r="P5" s="4">
        <v>140</v>
      </c>
      <c r="Q5" s="6">
        <f>VLOOKUP(A5,'Planting Constraints'!$A:$O,15,0)</f>
        <v>4</v>
      </c>
      <c r="R5" s="20">
        <v>1</v>
      </c>
      <c r="S5" s="6" t="s">
        <v>140</v>
      </c>
      <c r="T5" s="6" t="b">
        <v>1</v>
      </c>
      <c r="U5" s="6">
        <v>50</v>
      </c>
    </row>
    <row r="6" spans="1:21" x14ac:dyDescent="0.2">
      <c r="A6" s="4" t="s">
        <v>31</v>
      </c>
      <c r="B6" s="4" t="s">
        <v>33</v>
      </c>
      <c r="C6" s="4">
        <v>63</v>
      </c>
      <c r="D6" s="4" t="s">
        <v>68</v>
      </c>
      <c r="E6" s="4">
        <v>3</v>
      </c>
      <c r="F6" s="4">
        <v>0.17</v>
      </c>
      <c r="G6" s="4">
        <v>0.05</v>
      </c>
      <c r="H6" s="4">
        <v>2</v>
      </c>
      <c r="I6" s="4" t="s">
        <v>136</v>
      </c>
      <c r="J6" s="4">
        <v>6.6</v>
      </c>
      <c r="K6" s="6" t="s">
        <v>136</v>
      </c>
      <c r="L6" s="4" t="s">
        <v>74</v>
      </c>
      <c r="M6" s="4">
        <v>56</v>
      </c>
      <c r="N6" s="4">
        <v>72</v>
      </c>
      <c r="O6" s="4">
        <v>6</v>
      </c>
      <c r="P6" s="4">
        <v>450</v>
      </c>
      <c r="Q6" s="6">
        <f>VLOOKUP(A6,'Planting Constraints'!$A:$O,15,0)</f>
        <v>9</v>
      </c>
      <c r="R6" s="20">
        <v>2.5</v>
      </c>
      <c r="S6" s="6" t="s">
        <v>142</v>
      </c>
      <c r="T6" s="6" t="b">
        <v>0</v>
      </c>
      <c r="U6" s="6" t="s">
        <v>159</v>
      </c>
    </row>
    <row r="7" spans="1:21" x14ac:dyDescent="0.2">
      <c r="A7" s="4" t="s">
        <v>109</v>
      </c>
      <c r="B7" s="4" t="s">
        <v>33</v>
      </c>
      <c r="C7" s="4">
        <v>77</v>
      </c>
      <c r="D7" s="4" t="s">
        <v>81</v>
      </c>
      <c r="E7" s="4">
        <v>3</v>
      </c>
      <c r="F7" s="4">
        <v>0.33</v>
      </c>
      <c r="G7" s="4">
        <v>0.1</v>
      </c>
      <c r="H7" s="4">
        <v>1</v>
      </c>
      <c r="I7" s="4" t="s">
        <v>14</v>
      </c>
      <c r="J7" s="4">
        <v>3.3</v>
      </c>
      <c r="K7" s="6" t="s">
        <v>136</v>
      </c>
      <c r="L7" s="4" t="s">
        <v>71</v>
      </c>
      <c r="M7" s="4">
        <v>56</v>
      </c>
      <c r="N7" s="4">
        <v>72</v>
      </c>
      <c r="O7" s="4">
        <v>3</v>
      </c>
      <c r="P7" s="4">
        <v>350</v>
      </c>
      <c r="Q7" s="6">
        <f>VLOOKUP(A7,'Planting Constraints'!$A:$O,15,0)</f>
        <v>0</v>
      </c>
      <c r="R7" s="20">
        <v>1.5</v>
      </c>
      <c r="S7" s="6" t="s">
        <v>142</v>
      </c>
      <c r="T7" s="6" t="b">
        <v>0</v>
      </c>
      <c r="U7" s="6" t="s">
        <v>159</v>
      </c>
    </row>
    <row r="8" spans="1:21" x14ac:dyDescent="0.2">
      <c r="A8" s="4" t="s">
        <v>26</v>
      </c>
      <c r="B8" s="4" t="s">
        <v>33</v>
      </c>
      <c r="C8" s="4">
        <v>91</v>
      </c>
      <c r="D8" s="4" t="s">
        <v>81</v>
      </c>
      <c r="E8" s="4">
        <v>3</v>
      </c>
      <c r="F8" s="4">
        <v>0.33</v>
      </c>
      <c r="G8" s="4">
        <v>0.1</v>
      </c>
      <c r="H8" s="4">
        <v>1.5</v>
      </c>
      <c r="I8" s="4" t="s">
        <v>126</v>
      </c>
      <c r="J8" s="4">
        <v>2.2000000000000002</v>
      </c>
      <c r="K8" s="6" t="s">
        <v>69</v>
      </c>
      <c r="L8" s="4" t="s">
        <v>71</v>
      </c>
      <c r="M8" s="4">
        <v>56</v>
      </c>
      <c r="N8" s="4">
        <v>72</v>
      </c>
      <c r="O8" s="4">
        <v>3</v>
      </c>
      <c r="P8" s="4">
        <v>230</v>
      </c>
      <c r="Q8" s="6">
        <f>VLOOKUP(A8,'Planting Constraints'!$A:$O,15,0)</f>
        <v>9</v>
      </c>
      <c r="R8" s="20">
        <v>1.5</v>
      </c>
      <c r="S8" s="6" t="s">
        <v>142</v>
      </c>
      <c r="T8" s="6" t="b">
        <v>0</v>
      </c>
      <c r="U8" s="6" t="s">
        <v>159</v>
      </c>
    </row>
    <row r="9" spans="1:21" x14ac:dyDescent="0.2">
      <c r="A9" s="4" t="s">
        <v>39</v>
      </c>
      <c r="B9" s="4" t="s">
        <v>38</v>
      </c>
      <c r="C9" s="4">
        <v>42</v>
      </c>
      <c r="D9" s="4" t="s">
        <v>79</v>
      </c>
      <c r="E9" s="4">
        <v>1</v>
      </c>
      <c r="F9" s="4">
        <v>1.5</v>
      </c>
      <c r="G9" s="4">
        <v>0.45</v>
      </c>
      <c r="H9" s="4">
        <v>6</v>
      </c>
      <c r="I9" s="4" t="s">
        <v>21</v>
      </c>
      <c r="J9" s="4">
        <v>20</v>
      </c>
      <c r="K9" s="6" t="s">
        <v>21</v>
      </c>
      <c r="L9" s="4" t="s">
        <v>71</v>
      </c>
      <c r="M9" s="4">
        <v>21</v>
      </c>
      <c r="N9" s="4">
        <v>24</v>
      </c>
      <c r="O9" s="4">
        <v>2</v>
      </c>
      <c r="P9" s="4">
        <v>6</v>
      </c>
      <c r="Q9" s="6">
        <f>VLOOKUP(A9,'Planting Constraints'!$A:$O,15,0)</f>
        <v>1</v>
      </c>
      <c r="R9" s="20">
        <v>1</v>
      </c>
      <c r="S9" s="6" t="s">
        <v>142</v>
      </c>
      <c r="T9" s="6" t="b">
        <v>0</v>
      </c>
      <c r="U9" s="6" t="s">
        <v>159</v>
      </c>
    </row>
    <row r="10" spans="1:21" x14ac:dyDescent="0.2">
      <c r="A10" s="4" t="s">
        <v>20</v>
      </c>
      <c r="B10" s="4" t="s">
        <v>38</v>
      </c>
      <c r="C10" s="4">
        <v>49</v>
      </c>
      <c r="D10" s="4" t="s">
        <v>79</v>
      </c>
      <c r="E10" s="4">
        <v>1</v>
      </c>
      <c r="F10" s="4">
        <v>1.5</v>
      </c>
      <c r="G10" s="4">
        <v>0.45</v>
      </c>
      <c r="H10" s="4">
        <v>4</v>
      </c>
      <c r="I10" s="4" t="s">
        <v>21</v>
      </c>
      <c r="J10" s="4">
        <v>13</v>
      </c>
      <c r="K10" s="6" t="s">
        <v>21</v>
      </c>
      <c r="L10" s="4" t="s">
        <v>70</v>
      </c>
      <c r="M10" s="4">
        <v>21</v>
      </c>
      <c r="N10" s="4">
        <v>24</v>
      </c>
      <c r="O10" s="4">
        <v>2</v>
      </c>
      <c r="P10" s="4">
        <v>38</v>
      </c>
      <c r="Q10" s="6">
        <f>VLOOKUP(A10,'Planting Constraints'!$A:$O,15,0)</f>
        <v>4</v>
      </c>
      <c r="R10" s="20">
        <v>0.75</v>
      </c>
      <c r="S10" s="6" t="s">
        <v>142</v>
      </c>
      <c r="T10" s="6" t="b">
        <v>0</v>
      </c>
      <c r="U10" s="6" t="s">
        <v>159</v>
      </c>
    </row>
    <row r="11" spans="1:21" x14ac:dyDescent="0.2">
      <c r="A11" s="6" t="s">
        <v>122</v>
      </c>
      <c r="B11" s="4" t="s">
        <v>38</v>
      </c>
      <c r="C11" s="4">
        <v>70</v>
      </c>
      <c r="D11" s="4" t="s">
        <v>79</v>
      </c>
      <c r="E11" s="4">
        <v>1</v>
      </c>
      <c r="F11" s="4">
        <v>1.5</v>
      </c>
      <c r="G11" s="4">
        <v>0.45</v>
      </c>
      <c r="H11" s="4">
        <v>0.75</v>
      </c>
      <c r="I11" s="4" t="s">
        <v>21</v>
      </c>
      <c r="J11" s="4">
        <v>2.5</v>
      </c>
      <c r="K11" s="6" t="s">
        <v>21</v>
      </c>
      <c r="L11" s="4" t="s">
        <v>70</v>
      </c>
      <c r="M11" s="4">
        <v>21</v>
      </c>
      <c r="N11" s="4">
        <v>24</v>
      </c>
      <c r="O11" s="4">
        <v>2</v>
      </c>
      <c r="P11" s="4">
        <v>40</v>
      </c>
      <c r="Q11" s="6">
        <f>VLOOKUP(A11,'Planting Constraints'!$A:$O,15,0)</f>
        <v>5</v>
      </c>
      <c r="R11" s="20">
        <v>2</v>
      </c>
      <c r="S11" s="6" t="s">
        <v>142</v>
      </c>
      <c r="T11" s="6" t="b">
        <v>0</v>
      </c>
      <c r="U11" s="6" t="s">
        <v>159</v>
      </c>
    </row>
    <row r="12" spans="1:21" x14ac:dyDescent="0.2">
      <c r="A12" s="4" t="s">
        <v>87</v>
      </c>
      <c r="B12" s="4" t="s">
        <v>38</v>
      </c>
      <c r="C12" s="4">
        <v>84</v>
      </c>
      <c r="D12" s="4" t="s">
        <v>79</v>
      </c>
      <c r="E12" s="4">
        <v>1</v>
      </c>
      <c r="F12" s="4">
        <v>2</v>
      </c>
      <c r="G12" s="4">
        <v>0.6</v>
      </c>
      <c r="H12" s="4">
        <v>1</v>
      </c>
      <c r="I12" s="4" t="s">
        <v>21</v>
      </c>
      <c r="J12" s="4">
        <v>3.3</v>
      </c>
      <c r="K12" s="6" t="s">
        <v>21</v>
      </c>
      <c r="L12" s="4" t="s">
        <v>70</v>
      </c>
      <c r="M12" s="4">
        <v>21</v>
      </c>
      <c r="N12" s="4">
        <v>24</v>
      </c>
      <c r="O12" s="4">
        <v>2</v>
      </c>
      <c r="P12" s="4">
        <v>6</v>
      </c>
      <c r="Q12" s="6">
        <f>VLOOKUP(A12,'Planting Constraints'!$A:$O,15,0)</f>
        <v>2</v>
      </c>
      <c r="R12" s="20">
        <v>1</v>
      </c>
      <c r="S12" s="6" t="s">
        <v>142</v>
      </c>
      <c r="T12" s="6" t="b">
        <v>0</v>
      </c>
      <c r="U12" s="6" t="s">
        <v>159</v>
      </c>
    </row>
    <row r="13" spans="1:21" x14ac:dyDescent="0.2">
      <c r="A13" s="4" t="s">
        <v>24</v>
      </c>
      <c r="B13" s="4" t="s">
        <v>35</v>
      </c>
      <c r="C13" s="4">
        <v>28</v>
      </c>
      <c r="D13" s="4" t="s">
        <v>68</v>
      </c>
      <c r="E13" s="4">
        <v>3</v>
      </c>
      <c r="F13" s="4">
        <v>1</v>
      </c>
      <c r="G13" s="4">
        <v>0.3</v>
      </c>
      <c r="H13" s="4">
        <v>1</v>
      </c>
      <c r="I13" s="4" t="s">
        <v>82</v>
      </c>
      <c r="J13" s="4">
        <v>3.3</v>
      </c>
      <c r="K13" s="6" t="s">
        <v>82</v>
      </c>
      <c r="L13" s="4" t="s">
        <v>71</v>
      </c>
      <c r="M13" s="4">
        <v>28</v>
      </c>
      <c r="N13" s="4">
        <v>72</v>
      </c>
      <c r="O13" s="4">
        <v>2</v>
      </c>
      <c r="P13" s="4">
        <v>230</v>
      </c>
      <c r="Q13" s="6">
        <f>VLOOKUP(A13,'Planting Constraints'!$A:$O,15,0)</f>
        <v>7</v>
      </c>
      <c r="R13" s="20">
        <v>1.5</v>
      </c>
      <c r="S13" s="6" t="s">
        <v>141</v>
      </c>
      <c r="T13" s="6" t="b">
        <v>0</v>
      </c>
      <c r="U13" s="6" t="s">
        <v>159</v>
      </c>
    </row>
    <row r="14" spans="1:21" x14ac:dyDescent="0.2">
      <c r="A14" s="4" t="s">
        <v>23</v>
      </c>
      <c r="B14" s="4" t="s">
        <v>35</v>
      </c>
      <c r="C14" s="4">
        <v>42</v>
      </c>
      <c r="D14" s="4" t="s">
        <v>68</v>
      </c>
      <c r="E14" s="4">
        <v>3</v>
      </c>
      <c r="F14" s="4">
        <v>1</v>
      </c>
      <c r="G14" s="4">
        <v>0.3</v>
      </c>
      <c r="H14" s="4">
        <v>1.5</v>
      </c>
      <c r="I14" s="4" t="s">
        <v>136</v>
      </c>
      <c r="J14" s="4">
        <v>5</v>
      </c>
      <c r="K14" s="6" t="s">
        <v>136</v>
      </c>
      <c r="L14" s="4" t="s">
        <v>74</v>
      </c>
      <c r="M14" s="4">
        <v>28</v>
      </c>
      <c r="N14" s="4">
        <v>72</v>
      </c>
      <c r="O14" s="4">
        <v>2</v>
      </c>
      <c r="P14" s="4">
        <v>250</v>
      </c>
      <c r="Q14" s="6">
        <f>VLOOKUP(A14,'Planting Constraints'!$A:$O,15,0)</f>
        <v>6</v>
      </c>
      <c r="R14" s="20">
        <v>2.5</v>
      </c>
      <c r="S14" s="6" t="s">
        <v>141</v>
      </c>
      <c r="T14" s="6" t="b">
        <v>0</v>
      </c>
      <c r="U14" s="6" t="s">
        <v>159</v>
      </c>
    </row>
    <row r="15" spans="1:21" x14ac:dyDescent="0.2">
      <c r="A15" s="4" t="s">
        <v>18</v>
      </c>
      <c r="B15" s="4" t="s">
        <v>35</v>
      </c>
      <c r="C15" s="4">
        <v>49</v>
      </c>
      <c r="D15" s="4" t="s">
        <v>68</v>
      </c>
      <c r="E15" s="4">
        <v>2</v>
      </c>
      <c r="F15" s="4">
        <v>1.5</v>
      </c>
      <c r="G15" s="4">
        <v>0.45</v>
      </c>
      <c r="H15" s="4">
        <v>0.67</v>
      </c>
      <c r="I15" s="4" t="s">
        <v>82</v>
      </c>
      <c r="J15" s="4">
        <v>2.2000000000000002</v>
      </c>
      <c r="K15" s="6" t="s">
        <v>82</v>
      </c>
      <c r="L15" s="4" t="s">
        <v>70</v>
      </c>
      <c r="M15" s="4">
        <v>28</v>
      </c>
      <c r="N15" s="4">
        <v>72</v>
      </c>
      <c r="O15" s="4">
        <v>2</v>
      </c>
      <c r="P15" s="4">
        <v>220</v>
      </c>
      <c r="Q15" s="6">
        <f>VLOOKUP(A15,'Planting Constraints'!$A:$O,15,0)</f>
        <v>6</v>
      </c>
      <c r="R15" s="20">
        <v>2.5</v>
      </c>
      <c r="S15" s="6" t="s">
        <v>141</v>
      </c>
      <c r="T15" s="6" t="b">
        <v>0</v>
      </c>
      <c r="U15" s="6" t="s">
        <v>159</v>
      </c>
    </row>
    <row r="16" spans="1:21" x14ac:dyDescent="0.2">
      <c r="A16" s="4" t="s">
        <v>102</v>
      </c>
      <c r="B16" s="4" t="s">
        <v>35</v>
      </c>
      <c r="C16" s="4">
        <v>49</v>
      </c>
      <c r="D16" s="4" t="s">
        <v>68</v>
      </c>
      <c r="E16" s="4">
        <v>2</v>
      </c>
      <c r="F16" s="4">
        <v>1.5</v>
      </c>
      <c r="G16" s="4">
        <v>0.45</v>
      </c>
      <c r="H16" s="4">
        <v>0.67</v>
      </c>
      <c r="I16" s="4" t="s">
        <v>82</v>
      </c>
      <c r="J16" s="4">
        <v>2.2000000000000002</v>
      </c>
      <c r="K16" s="6" t="s">
        <v>82</v>
      </c>
      <c r="L16" s="4" t="s">
        <v>70</v>
      </c>
      <c r="M16" s="4">
        <v>28</v>
      </c>
      <c r="N16" s="4">
        <v>72</v>
      </c>
      <c r="O16" s="4">
        <v>2</v>
      </c>
      <c r="P16" s="4">
        <v>285</v>
      </c>
      <c r="Q16" s="6">
        <f>VLOOKUP(A16,'Planting Constraints'!$A:$O,15,0)</f>
        <v>6</v>
      </c>
      <c r="R16" s="20">
        <v>4</v>
      </c>
      <c r="S16" s="6" t="s">
        <v>141</v>
      </c>
      <c r="T16" s="6" t="b">
        <v>0</v>
      </c>
      <c r="U16" s="6" t="s">
        <v>159</v>
      </c>
    </row>
    <row r="17" spans="1:21" x14ac:dyDescent="0.2">
      <c r="A17" s="4" t="s">
        <v>106</v>
      </c>
      <c r="B17" s="4" t="s">
        <v>35</v>
      </c>
      <c r="C17" s="4">
        <v>49</v>
      </c>
      <c r="D17" s="4" t="s">
        <v>68</v>
      </c>
      <c r="E17" s="4">
        <v>3</v>
      </c>
      <c r="F17" s="4">
        <v>1.5</v>
      </c>
      <c r="G17" s="4">
        <v>0.45</v>
      </c>
      <c r="H17" s="4">
        <v>0.67</v>
      </c>
      <c r="I17" s="4" t="s">
        <v>21</v>
      </c>
      <c r="J17" s="4">
        <v>2.2000000000000002</v>
      </c>
      <c r="K17" s="6" t="s">
        <v>21</v>
      </c>
      <c r="L17" s="4" t="s">
        <v>70</v>
      </c>
      <c r="M17" s="4">
        <v>28</v>
      </c>
      <c r="N17" s="4">
        <v>72</v>
      </c>
      <c r="O17" s="4">
        <v>2</v>
      </c>
      <c r="P17" s="4">
        <v>330</v>
      </c>
      <c r="Q17" s="6">
        <f>VLOOKUP(A17,'Planting Constraints'!$A:$O,15,0)</f>
        <v>0</v>
      </c>
      <c r="R17" s="20">
        <v>1.5</v>
      </c>
      <c r="S17" s="6" t="s">
        <v>141</v>
      </c>
      <c r="T17" s="6" t="b">
        <v>0</v>
      </c>
      <c r="U17" s="6" t="s">
        <v>159</v>
      </c>
    </row>
    <row r="18" spans="1:21" x14ac:dyDescent="0.2">
      <c r="A18" s="4" t="s">
        <v>101</v>
      </c>
      <c r="B18" s="4" t="s">
        <v>35</v>
      </c>
      <c r="C18" s="4">
        <v>63</v>
      </c>
      <c r="D18" s="4" t="s">
        <v>68</v>
      </c>
      <c r="E18" s="4">
        <v>2</v>
      </c>
      <c r="F18" s="4">
        <v>1.5</v>
      </c>
      <c r="G18" s="4">
        <v>0.45</v>
      </c>
      <c r="H18" s="4">
        <v>0.67</v>
      </c>
      <c r="I18" s="4" t="s">
        <v>82</v>
      </c>
      <c r="J18" s="4">
        <v>2.2000000000000002</v>
      </c>
      <c r="K18" s="6" t="s">
        <v>82</v>
      </c>
      <c r="L18" s="4" t="s">
        <v>70</v>
      </c>
      <c r="M18" s="4">
        <v>28</v>
      </c>
      <c r="N18" s="4">
        <v>72</v>
      </c>
      <c r="O18" s="4">
        <v>2</v>
      </c>
      <c r="P18" s="4">
        <v>250</v>
      </c>
      <c r="Q18" s="6">
        <f>VLOOKUP(A18,'Planting Constraints'!$A:$O,15,0)</f>
        <v>6</v>
      </c>
      <c r="R18" s="20">
        <v>3</v>
      </c>
      <c r="S18" s="6" t="s">
        <v>141</v>
      </c>
      <c r="T18" s="6" t="b">
        <v>0</v>
      </c>
      <c r="U18" s="6" t="s">
        <v>159</v>
      </c>
    </row>
    <row r="19" spans="1:21" x14ac:dyDescent="0.2">
      <c r="A19" s="4" t="s">
        <v>111</v>
      </c>
      <c r="B19" s="4" t="s">
        <v>35</v>
      </c>
      <c r="C19" s="4">
        <v>77</v>
      </c>
      <c r="D19" s="4" t="s">
        <v>79</v>
      </c>
      <c r="E19" s="4">
        <v>3</v>
      </c>
      <c r="F19" s="4">
        <v>1</v>
      </c>
      <c r="G19" s="4">
        <v>0.3</v>
      </c>
      <c r="H19" s="4">
        <v>1</v>
      </c>
      <c r="I19" s="4" t="s">
        <v>85</v>
      </c>
      <c r="J19" s="4">
        <v>3.3</v>
      </c>
      <c r="K19" s="6" t="s">
        <v>85</v>
      </c>
      <c r="L19" s="4" t="s">
        <v>71</v>
      </c>
      <c r="M19" s="4">
        <v>28</v>
      </c>
      <c r="N19" s="4">
        <v>72</v>
      </c>
      <c r="O19" s="4">
        <v>2</v>
      </c>
      <c r="P19" s="4">
        <v>330</v>
      </c>
      <c r="Q19" s="6">
        <f>VLOOKUP(A19,'Planting Constraints'!$A:$O,15,0)</f>
        <v>0</v>
      </c>
      <c r="R19" s="20">
        <v>1</v>
      </c>
      <c r="S19" s="6" t="s">
        <v>141</v>
      </c>
      <c r="T19" s="6" t="b">
        <v>0</v>
      </c>
      <c r="U19" s="6" t="s">
        <v>159</v>
      </c>
    </row>
    <row r="20" spans="1:21" x14ac:dyDescent="0.2">
      <c r="A20" s="4" t="s">
        <v>99</v>
      </c>
      <c r="B20" s="4" t="s">
        <v>35</v>
      </c>
      <c r="C20" s="4">
        <v>91</v>
      </c>
      <c r="D20" s="4" t="s">
        <v>81</v>
      </c>
      <c r="E20" s="4">
        <v>2</v>
      </c>
      <c r="F20" s="4">
        <v>2</v>
      </c>
      <c r="G20" s="4">
        <v>0.6</v>
      </c>
      <c r="H20" s="4">
        <v>0.5</v>
      </c>
      <c r="I20" s="4" t="s">
        <v>135</v>
      </c>
      <c r="J20" s="4">
        <v>1.7</v>
      </c>
      <c r="K20" s="6" t="s">
        <v>135</v>
      </c>
      <c r="L20" s="4" t="s">
        <v>70</v>
      </c>
      <c r="M20" s="4">
        <v>28</v>
      </c>
      <c r="N20" s="4">
        <v>72</v>
      </c>
      <c r="O20" s="4">
        <v>2</v>
      </c>
      <c r="P20" s="4">
        <v>250</v>
      </c>
      <c r="Q20" s="6">
        <f>VLOOKUP(A20,'Planting Constraints'!$A:$O,15,0)</f>
        <v>6</v>
      </c>
      <c r="R20" s="20">
        <v>1</v>
      </c>
      <c r="S20" s="6" t="s">
        <v>141</v>
      </c>
      <c r="T20" s="6" t="b">
        <v>0</v>
      </c>
      <c r="U20" s="6" t="s">
        <v>159</v>
      </c>
    </row>
    <row r="21" spans="1:21" x14ac:dyDescent="0.2">
      <c r="A21" s="4" t="s">
        <v>100</v>
      </c>
      <c r="B21" s="4" t="s">
        <v>35</v>
      </c>
      <c r="C21" s="4">
        <v>91</v>
      </c>
      <c r="D21" s="4" t="s">
        <v>68</v>
      </c>
      <c r="E21" s="4">
        <v>2</v>
      </c>
      <c r="F21" s="4">
        <v>1.5</v>
      </c>
      <c r="G21" s="4">
        <v>0.45</v>
      </c>
      <c r="H21" s="4">
        <v>0.67</v>
      </c>
      <c r="I21" s="4" t="s">
        <v>82</v>
      </c>
      <c r="J21" s="4">
        <v>2.2000000000000002</v>
      </c>
      <c r="K21" s="6" t="s">
        <v>82</v>
      </c>
      <c r="L21" s="4" t="s">
        <v>70</v>
      </c>
      <c r="M21" s="4">
        <v>28</v>
      </c>
      <c r="N21" s="4">
        <v>72</v>
      </c>
      <c r="O21" s="4">
        <v>2</v>
      </c>
      <c r="P21" s="4">
        <v>250</v>
      </c>
      <c r="Q21" s="6">
        <f>VLOOKUP(A21,'Planting Constraints'!$A:$O,15,0)</f>
        <v>6</v>
      </c>
      <c r="R21" s="20">
        <v>3</v>
      </c>
      <c r="S21" s="6" t="s">
        <v>141</v>
      </c>
      <c r="T21" s="6" t="b">
        <v>0</v>
      </c>
      <c r="U21" s="6" t="s">
        <v>159</v>
      </c>
    </row>
    <row r="22" spans="1:21" x14ac:dyDescent="0.2">
      <c r="A22" s="4" t="s">
        <v>15</v>
      </c>
      <c r="B22" s="4" t="s">
        <v>40</v>
      </c>
      <c r="C22" s="4">
        <v>63</v>
      </c>
      <c r="D22" s="4" t="s">
        <v>68</v>
      </c>
      <c r="E22" s="4">
        <v>3</v>
      </c>
      <c r="F22" s="4">
        <v>1</v>
      </c>
      <c r="G22" s="4">
        <v>0.3</v>
      </c>
      <c r="H22" s="4">
        <v>1</v>
      </c>
      <c r="I22" s="4" t="s">
        <v>134</v>
      </c>
      <c r="J22" s="4">
        <v>3.3</v>
      </c>
      <c r="K22" s="6" t="s">
        <v>137</v>
      </c>
      <c r="L22" s="4" t="s">
        <v>74</v>
      </c>
      <c r="M22" s="4">
        <v>28</v>
      </c>
      <c r="N22" s="4">
        <v>72</v>
      </c>
      <c r="O22" s="4">
        <v>2</v>
      </c>
      <c r="P22" s="4">
        <v>560</v>
      </c>
      <c r="Q22" s="6">
        <f>VLOOKUP(A22,'Planting Constraints'!$A:$O,15,0)</f>
        <v>2</v>
      </c>
      <c r="R22" s="20">
        <v>2.5</v>
      </c>
      <c r="S22" s="6" t="s">
        <v>141</v>
      </c>
      <c r="T22" s="6" t="b">
        <v>0</v>
      </c>
      <c r="U22" s="6" t="s">
        <v>159</v>
      </c>
    </row>
    <row r="23" spans="1:21" x14ac:dyDescent="0.2">
      <c r="A23" s="4" t="s">
        <v>27</v>
      </c>
      <c r="B23" s="4" t="s">
        <v>44</v>
      </c>
      <c r="C23" s="4">
        <v>70</v>
      </c>
      <c r="D23" s="4" t="s">
        <v>79</v>
      </c>
      <c r="E23" s="4">
        <v>3</v>
      </c>
      <c r="F23" s="4">
        <v>1</v>
      </c>
      <c r="G23" s="4">
        <v>0.3</v>
      </c>
      <c r="H23" s="4">
        <v>1.5</v>
      </c>
      <c r="I23" s="4" t="s">
        <v>136</v>
      </c>
      <c r="J23" s="4">
        <v>5</v>
      </c>
      <c r="K23" s="6" t="s">
        <v>136</v>
      </c>
      <c r="L23" s="4" t="s">
        <v>74</v>
      </c>
      <c r="M23" s="4">
        <v>42</v>
      </c>
      <c r="N23" s="4">
        <v>72</v>
      </c>
      <c r="O23" s="4">
        <v>3</v>
      </c>
      <c r="P23" s="4">
        <v>500</v>
      </c>
      <c r="Q23" s="6">
        <f>VLOOKUP(A23,'Planting Constraints'!$A:$O,15,0)</f>
        <v>2</v>
      </c>
      <c r="R23" s="20">
        <v>2</v>
      </c>
      <c r="S23" s="6" t="s">
        <v>141</v>
      </c>
      <c r="T23" s="6" t="b">
        <v>0</v>
      </c>
      <c r="U23" s="6" t="s">
        <v>159</v>
      </c>
    </row>
    <row r="24" spans="1:21" x14ac:dyDescent="0.2">
      <c r="A24" s="4" t="s">
        <v>25</v>
      </c>
      <c r="B24" s="4" t="s">
        <v>34</v>
      </c>
      <c r="C24" s="4">
        <v>35</v>
      </c>
      <c r="D24" s="4" t="s">
        <v>110</v>
      </c>
      <c r="E24" s="4">
        <v>3</v>
      </c>
      <c r="F24" s="4">
        <v>1</v>
      </c>
      <c r="G24" s="4">
        <v>0.3</v>
      </c>
      <c r="H24" s="4">
        <v>1</v>
      </c>
      <c r="I24" s="4" t="s">
        <v>82</v>
      </c>
      <c r="J24" s="4">
        <v>3.3</v>
      </c>
      <c r="K24" s="6" t="s">
        <v>82</v>
      </c>
      <c r="L24" s="4" t="s">
        <v>71</v>
      </c>
      <c r="M24" s="4">
        <v>28</v>
      </c>
      <c r="N24" s="4">
        <v>72</v>
      </c>
      <c r="O24" s="4">
        <v>3</v>
      </c>
      <c r="P24" s="4">
        <v>800</v>
      </c>
      <c r="Q24" s="6">
        <f>VLOOKUP(A24,'Planting Constraints'!$A:$O,15,0)</f>
        <v>8</v>
      </c>
      <c r="R24" s="20">
        <v>2</v>
      </c>
      <c r="S24" s="6" t="s">
        <v>143</v>
      </c>
      <c r="T24" s="6" t="b">
        <v>0</v>
      </c>
      <c r="U24" s="6" t="s">
        <v>159</v>
      </c>
    </row>
    <row r="25" spans="1:21" x14ac:dyDescent="0.2">
      <c r="A25" s="4" t="s">
        <v>105</v>
      </c>
      <c r="B25" s="4" t="s">
        <v>37</v>
      </c>
      <c r="C25" s="4">
        <v>42</v>
      </c>
      <c r="D25" s="4" t="s">
        <v>68</v>
      </c>
      <c r="E25" s="4">
        <v>3</v>
      </c>
      <c r="F25" s="4">
        <v>1</v>
      </c>
      <c r="G25" s="4">
        <v>0.3</v>
      </c>
      <c r="H25" s="4">
        <v>1.5</v>
      </c>
      <c r="I25" s="4" t="s">
        <v>136</v>
      </c>
      <c r="J25" s="4">
        <v>5</v>
      </c>
      <c r="K25" s="6" t="s">
        <v>136</v>
      </c>
      <c r="L25" s="4" t="s">
        <v>74</v>
      </c>
      <c r="M25" s="4">
        <v>35</v>
      </c>
      <c r="N25" s="4">
        <v>72</v>
      </c>
      <c r="O25" s="4">
        <v>1</v>
      </c>
      <c r="P25" s="4">
        <v>65</v>
      </c>
      <c r="Q25" s="6">
        <f>VLOOKUP(A25,'Planting Constraints'!$A:$O,15,0)</f>
        <v>8</v>
      </c>
      <c r="R25" s="20">
        <v>2.5</v>
      </c>
      <c r="S25" s="6" t="s">
        <v>143</v>
      </c>
      <c r="T25" s="6" t="b">
        <v>0</v>
      </c>
      <c r="U25" s="6" t="s">
        <v>159</v>
      </c>
    </row>
    <row r="26" spans="1:21" x14ac:dyDescent="0.2">
      <c r="A26" s="4" t="s">
        <v>75</v>
      </c>
      <c r="B26" s="4" t="s">
        <v>76</v>
      </c>
      <c r="C26" s="4">
        <v>56</v>
      </c>
      <c r="D26" s="4" t="s">
        <v>77</v>
      </c>
      <c r="E26" s="4">
        <v>2</v>
      </c>
      <c r="F26" s="4">
        <v>0.5</v>
      </c>
      <c r="G26" s="4">
        <v>0.15</v>
      </c>
      <c r="H26" s="4">
        <v>2</v>
      </c>
      <c r="I26" s="4" t="s">
        <v>78</v>
      </c>
      <c r="J26" s="4">
        <v>6.6</v>
      </c>
      <c r="K26" s="6" t="s">
        <v>78</v>
      </c>
      <c r="L26" s="4" t="s">
        <v>70</v>
      </c>
      <c r="M26" s="4">
        <v>14</v>
      </c>
      <c r="N26" s="4">
        <v>50</v>
      </c>
      <c r="O26" s="4">
        <v>2</v>
      </c>
      <c r="P26" s="4">
        <v>5.5</v>
      </c>
      <c r="Q26" s="6">
        <f>VLOOKUP(A26,'Planting Constraints'!$A:$O,15,0)</f>
        <v>4</v>
      </c>
      <c r="R26" s="20">
        <v>0.5</v>
      </c>
      <c r="S26" s="6" t="s">
        <v>143</v>
      </c>
      <c r="T26" s="6" t="b">
        <v>0</v>
      </c>
      <c r="U26" s="6" t="s">
        <v>159</v>
      </c>
    </row>
    <row r="27" spans="1:21" x14ac:dyDescent="0.2">
      <c r="A27" s="4" t="s">
        <v>108</v>
      </c>
      <c r="B27" s="4" t="s">
        <v>44</v>
      </c>
      <c r="C27" s="4">
        <v>63</v>
      </c>
      <c r="D27" s="4" t="s">
        <v>68</v>
      </c>
      <c r="E27" s="4">
        <v>3</v>
      </c>
      <c r="F27" s="4">
        <v>1</v>
      </c>
      <c r="G27" s="4">
        <v>0.3</v>
      </c>
      <c r="H27" s="4">
        <v>1</v>
      </c>
      <c r="I27" s="4" t="s">
        <v>82</v>
      </c>
      <c r="J27" s="4">
        <v>3.3</v>
      </c>
      <c r="K27" s="6" t="s">
        <v>82</v>
      </c>
      <c r="L27" s="4" t="s">
        <v>71</v>
      </c>
      <c r="M27" s="4">
        <v>35</v>
      </c>
      <c r="N27" s="4">
        <v>72</v>
      </c>
      <c r="O27" s="4">
        <v>2</v>
      </c>
      <c r="P27" s="7">
        <v>250</v>
      </c>
      <c r="Q27" s="6">
        <f>VLOOKUP(A27,'Planting Constraints'!$A:$O,15,0)</f>
        <v>0</v>
      </c>
      <c r="R27" s="20">
        <v>1</v>
      </c>
      <c r="S27" s="6" t="s">
        <v>143</v>
      </c>
      <c r="T27" s="6" t="b">
        <v>0</v>
      </c>
      <c r="U27" s="6" t="s">
        <v>159</v>
      </c>
    </row>
    <row r="28" spans="1:21" x14ac:dyDescent="0.2">
      <c r="A28" s="4" t="s">
        <v>104</v>
      </c>
      <c r="B28" s="4" t="s">
        <v>44</v>
      </c>
      <c r="C28" s="4">
        <v>84</v>
      </c>
      <c r="D28" s="4" t="s">
        <v>81</v>
      </c>
      <c r="E28" s="4">
        <v>3</v>
      </c>
      <c r="F28" s="4">
        <v>1</v>
      </c>
      <c r="G28" s="4">
        <v>0.3</v>
      </c>
      <c r="H28" s="4">
        <v>1</v>
      </c>
      <c r="I28" s="4" t="s">
        <v>82</v>
      </c>
      <c r="J28" s="4">
        <v>3.3</v>
      </c>
      <c r="K28" s="6" t="s">
        <v>82</v>
      </c>
      <c r="L28" s="4" t="s">
        <v>71</v>
      </c>
      <c r="M28" s="4">
        <v>84</v>
      </c>
      <c r="N28" s="4">
        <v>98</v>
      </c>
      <c r="O28" s="4">
        <v>1</v>
      </c>
      <c r="P28" s="4">
        <v>2400</v>
      </c>
      <c r="Q28" s="6">
        <f>VLOOKUP(A28,'Planting Constraints'!$A:$O,15,0)</f>
        <v>0</v>
      </c>
      <c r="R28" s="20">
        <v>1</v>
      </c>
      <c r="S28" s="6" t="s">
        <v>144</v>
      </c>
      <c r="T28" s="6" t="b">
        <v>1</v>
      </c>
      <c r="U28" s="6">
        <v>72</v>
      </c>
    </row>
    <row r="29" spans="1:21" x14ac:dyDescent="0.2">
      <c r="A29" s="4" t="s">
        <v>103</v>
      </c>
      <c r="B29" s="4" t="s">
        <v>44</v>
      </c>
      <c r="C29" s="4">
        <v>98</v>
      </c>
      <c r="D29" s="4" t="s">
        <v>81</v>
      </c>
      <c r="E29" s="4">
        <v>3</v>
      </c>
      <c r="F29" s="4">
        <v>1</v>
      </c>
      <c r="G29" s="4">
        <v>0.3</v>
      </c>
      <c r="H29" s="4">
        <v>1</v>
      </c>
      <c r="I29" s="4" t="s">
        <v>85</v>
      </c>
      <c r="J29" s="4">
        <v>3.3</v>
      </c>
      <c r="K29" s="6" t="s">
        <v>85</v>
      </c>
      <c r="L29" s="4" t="s">
        <v>71</v>
      </c>
      <c r="M29" s="4">
        <v>84</v>
      </c>
      <c r="N29" s="4">
        <v>98</v>
      </c>
      <c r="O29" s="4">
        <v>1</v>
      </c>
      <c r="P29" s="4">
        <v>2400</v>
      </c>
      <c r="Q29" s="6">
        <f>VLOOKUP(A29,'Planting Constraints'!$A:$O,15,0)</f>
        <v>0</v>
      </c>
      <c r="R29" s="20">
        <v>3</v>
      </c>
      <c r="S29" s="6" t="s">
        <v>144</v>
      </c>
      <c r="T29" s="6" t="b">
        <v>1</v>
      </c>
      <c r="U29" s="6">
        <v>72</v>
      </c>
    </row>
  </sheetData>
  <autoFilter ref="A2:U29" xr:uid="{AA07EB8D-864D-40DC-8CF9-05BFBC78D173}">
    <filterColumn colId="7" showButton="0"/>
    <filterColumn colId="9" showButton="0"/>
    <sortState xmlns:xlrd2="http://schemas.microsoft.com/office/spreadsheetml/2017/richdata2" ref="A3:U29">
      <sortCondition ref="S2:S29"/>
    </sortState>
  </autoFilter>
  <mergeCells count="4">
    <mergeCell ref="F1:G1"/>
    <mergeCell ref="H1:K1"/>
    <mergeCell ref="H2:I2"/>
    <mergeCell ref="J2:K2"/>
  </mergeCells>
  <pageMargins left="0" right="0" top="0.39410000000000006" bottom="0.39410000000000006" header="0" footer="0"/>
  <pageSetup orientation="portrait" r:id="rId1"/>
  <headerFooter>
    <oddHeader>&amp;C&amp;A</oddHeader>
    <oddFooter>&amp;CPage &amp;P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903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Intro</vt:lpstr>
      <vt:lpstr>Annual Plan</vt:lpstr>
      <vt:lpstr>Weekly CSA Share Content</vt:lpstr>
      <vt:lpstr>Calendar</vt:lpstr>
      <vt:lpstr>Weekly CSA Harvest Target</vt:lpstr>
      <vt:lpstr>Seed Sheet</vt:lpstr>
      <vt:lpstr>Greenhouse Schedule</vt:lpstr>
      <vt:lpstr>Crop Sheet</vt:lpstr>
      <vt:lpstr>Field Planting Schedule</vt:lpstr>
      <vt:lpstr>Field Ops</vt:lpstr>
      <vt:lpstr>Availability</vt:lpstr>
      <vt:lpstr>Planting Constraints</vt:lpstr>
      <vt:lpstr>DS Crop Ref</vt:lpstr>
      <vt:lpstr>TP Crop 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Gavin O'Leary</dc:creator>
  <cp:lastModifiedBy>user</cp:lastModifiedBy>
  <cp:revision>22</cp:revision>
  <dcterms:created xsi:type="dcterms:W3CDTF">2020-04-25T23:39:54Z</dcterms:created>
  <dcterms:modified xsi:type="dcterms:W3CDTF">2020-09-09T13:15:25Z</dcterms:modified>
</cp:coreProperties>
</file>